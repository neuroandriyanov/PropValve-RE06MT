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ядок пайки" sheetId="1" state="visible" r:id="rId3"/>
    <sheet name="Исходные данные" sheetId="2" state="visible" r:id="rId4"/>
    <sheet name="Цены и источники" sheetId="3" state="visible" r:id="rId5"/>
  </sheets>
  <definedNames>
    <definedName function="false" hidden="false" localSheetId="1" name="_xlnm.Print_Area" vbProcedure="false">'Исходные данные'!$A$1:$C$154</definedName>
    <definedName function="false" hidden="false" localSheetId="1" name="_xlnm.Print_Titles" vbProcedure="false">'Исходные данные'!$1:$1</definedName>
    <definedName function="false" hidden="false" localSheetId="0" name="_xlnm.Print_Area" vbProcedure="false">'Порядок пайки'!$A$1:$H$70</definedName>
    <definedName function="false" hidden="false" localSheetId="0" name="_xlnm.Print_Titles" vbProcedure="false">'Порядок пайки'!$1:$1</definedName>
    <definedName function="false" hidden="false" localSheetId="2" name="_xlnm.Print_Area" vbProcedure="false">'Цены и источники'!$A$1:$H$66</definedName>
    <definedName function="false" hidden="false" localSheetId="2" name="_xlnm.Print_Titles" vbProcedure="false">'Цены и источники'!$7:$7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<sst xmlns="http://schemas.openxmlformats.org/spreadsheetml/2006/main" count="935" uniqueCount="381">
  <si>
    <t xml:space="preserve">№ пакета</t>
  </si>
  <si>
    <t xml:space="preserve">Метки</t>
  </si>
  <si>
    <t xml:space="preserve">Значение</t>
  </si>
  <si>
    <t xml:space="preserve">Тип</t>
  </si>
  <si>
    <t xml:space="preserve">Кол-во</t>
  </si>
  <si>
    <t xml:space="preserve">Цена/шт, ₽</t>
  </si>
  <si>
    <t xml:space="preserve">Стоимость, ₽</t>
  </si>
  <si>
    <t xml:space="preserve">Спаяно</t>
  </si>
  <si>
    <t xml:space="preserve">1. Резисторы и конденсаторы 0805</t>
  </si>
  <si>
    <t xml:space="preserve">C54</t>
  </si>
  <si>
    <t xml:space="preserve">3.3nF 25V</t>
  </si>
  <si>
    <t xml:space="preserve">CAP_0805</t>
  </si>
  <si>
    <t xml:space="preserve">C50</t>
  </si>
  <si>
    <t xml:space="preserve">56nF 25V</t>
  </si>
  <si>
    <t xml:space="preserve">C34, C35, C36, C38, C40, C43, C53, C57, C62, C63, C65, C66, C69, C70, C94, C97</t>
  </si>
  <si>
    <t xml:space="preserve">0.1uF 25V</t>
  </si>
  <si>
    <t xml:space="preserve">C39, C44, C46, C58, C64</t>
  </si>
  <si>
    <t xml:space="preserve">10uF 25V</t>
  </si>
  <si>
    <t xml:space="preserve">R57</t>
  </si>
  <si>
    <t xml:space="preserve">51</t>
  </si>
  <si>
    <t xml:space="preserve">RES_0805</t>
  </si>
  <si>
    <t xml:space="preserve">R48</t>
  </si>
  <si>
    <t xml:space="preserve">475</t>
  </si>
  <si>
    <t xml:space="preserve">R44</t>
  </si>
  <si>
    <t xml:space="preserve">1K</t>
  </si>
  <si>
    <t xml:space="preserve">R68, R69, R71, R72</t>
  </si>
  <si>
    <t xml:space="preserve">2.2K</t>
  </si>
  <si>
    <t xml:space="preserve">R46, R47, R49, R51, R53, R54, R59</t>
  </si>
  <si>
    <t xml:space="preserve">10K</t>
  </si>
  <si>
    <t xml:space="preserve">R45</t>
  </si>
  <si>
    <t xml:space="preserve">18K</t>
  </si>
  <si>
    <t xml:space="preserve">R60</t>
  </si>
  <si>
    <t xml:space="preserve">100K</t>
  </si>
  <si>
    <t xml:space="preserve">2. Мелкие диоды и транзисторы</t>
  </si>
  <si>
    <t xml:space="preserve">D13, D14</t>
  </si>
  <si>
    <t xml:space="preserve">BAS70W-04</t>
  </si>
  <si>
    <t xml:space="preserve">D10, D11, D16, D17</t>
  </si>
  <si>
    <t xml:space="preserve">BAV99</t>
  </si>
  <si>
    <t xml:space="preserve">VT1</t>
  </si>
  <si>
    <t xml:space="preserve">FMMT717TA</t>
  </si>
  <si>
    <t xml:space="preserve">3. Резисторы и конденсаторы 1206</t>
  </si>
  <si>
    <t xml:space="preserve">C13, C17</t>
  </si>
  <si>
    <t xml:space="preserve">0.01uF 25v</t>
  </si>
  <si>
    <t xml:space="preserve">CAP_1206</t>
  </si>
  <si>
    <t xml:space="preserve">C16</t>
  </si>
  <si>
    <t xml:space="preserve">0.03uF 25v</t>
  </si>
  <si>
    <t xml:space="preserve">C9, C12, C14, C15, C18, C19, C20, C21, C22, C23, C25</t>
  </si>
  <si>
    <t xml:space="preserve">0.1uF 25v</t>
  </si>
  <si>
    <t xml:space="preserve">C52</t>
  </si>
  <si>
    <t xml:space="preserve">47uF 25V</t>
  </si>
  <si>
    <t xml:space="preserve">R4</t>
  </si>
  <si>
    <t xml:space="preserve">10</t>
  </si>
  <si>
    <t xml:space="preserve">RES1206</t>
  </si>
  <si>
    <t xml:space="preserve">R3, R42, R43</t>
  </si>
  <si>
    <t xml:space="preserve">180</t>
  </si>
  <si>
    <t xml:space="preserve">R6, R9, R10, R15, R16, R17, R18, R19, R20, R21, R22, R30, R32, R34, R35</t>
  </si>
  <si>
    <t xml:space="preserve">R24, R25</t>
  </si>
  <si>
    <t xml:space="preserve">2K</t>
  </si>
  <si>
    <t xml:space="preserve">R8, R11, R26, R28, R38, R39, R40, R41</t>
  </si>
  <si>
    <t xml:space="preserve">R36</t>
  </si>
  <si>
    <t xml:space="preserve">14K</t>
  </si>
  <si>
    <t xml:space="preserve">R13, R27, R29</t>
  </si>
  <si>
    <t xml:space="preserve">20K</t>
  </si>
  <si>
    <t xml:space="preserve">R31, R33</t>
  </si>
  <si>
    <t xml:space="preserve">25K</t>
  </si>
  <si>
    <t xml:space="preserve">R1, R2, R23</t>
  </si>
  <si>
    <t xml:space="preserve">30K</t>
  </si>
  <si>
    <t xml:space="preserve">R7, R12</t>
  </si>
  <si>
    <t xml:space="preserve">51K</t>
  </si>
  <si>
    <t xml:space="preserve">R14, R37</t>
  </si>
  <si>
    <t xml:space="preserve">4. Конденсаторы 1210</t>
  </si>
  <si>
    <t xml:space="preserve">C4, C6, C8, C11, C24</t>
  </si>
  <si>
    <t xml:space="preserve">10uF 50v</t>
  </si>
  <si>
    <t xml:space="preserve">CAP1210</t>
  </si>
  <si>
    <t xml:space="preserve">5. Микросхемы и генератор</t>
  </si>
  <si>
    <t xml:space="preserve">DD4</t>
  </si>
  <si>
    <t xml:space="preserve">24LC512</t>
  </si>
  <si>
    <t xml:space="preserve">DD3</t>
  </si>
  <si>
    <t xml:space="preserve">74LVC1G125GV</t>
  </si>
  <si>
    <t xml:space="preserve">DA1</t>
  </si>
  <si>
    <t xml:space="preserve">ACS712</t>
  </si>
  <si>
    <t xml:space="preserve">DD1</t>
  </si>
  <si>
    <t xml:space="preserve">ADAU1701JSTZ</t>
  </si>
  <si>
    <t xml:space="preserve">DD5</t>
  </si>
  <si>
    <t xml:space="preserve">ADM811R</t>
  </si>
  <si>
    <t xml:space="preserve">OSC1</t>
  </si>
  <si>
    <t xml:space="preserve">ASFL1-12.288MHZ</t>
  </si>
  <si>
    <t xml:space="preserve">DD2</t>
  </si>
  <si>
    <t xml:space="preserve">ISO1540DR</t>
  </si>
  <si>
    <t xml:space="preserve">DA9</t>
  </si>
  <si>
    <t xml:space="preserve">LDL1117S33R</t>
  </si>
  <si>
    <t xml:space="preserve">DA4, DA5, DA6, DA7, DA8</t>
  </si>
  <si>
    <t xml:space="preserve">OP2177</t>
  </si>
  <si>
    <t xml:space="preserve">DA3</t>
  </si>
  <si>
    <t xml:space="preserve">TL494</t>
  </si>
  <si>
    <t xml:space="preserve">6. Защитные и выводные диоды</t>
  </si>
  <si>
    <t xml:space="preserve">D1</t>
  </si>
  <si>
    <t xml:space="preserve">1.5KE30A</t>
  </si>
  <si>
    <t xml:space="preserve">D4, D5, D8</t>
  </si>
  <si>
    <t xml:space="preserve">1N4744A</t>
  </si>
  <si>
    <t xml:space="preserve">D2, D3</t>
  </si>
  <si>
    <t xml:space="preserve">SMBJ12A</t>
  </si>
  <si>
    <t xml:space="preserve">D12</t>
  </si>
  <si>
    <t xml:space="preserve">SMBJ3V3</t>
  </si>
  <si>
    <t xml:space="preserve">D9, D15</t>
  </si>
  <si>
    <t xml:space="preserve">SMBJ5A / SMBJ5.0</t>
  </si>
  <si>
    <t xml:space="preserve">D6, D7</t>
  </si>
  <si>
    <t xml:space="preserve">SR540</t>
  </si>
  <si>
    <t xml:space="preserve">7. Силовые элементы и оптодрайвер</t>
  </si>
  <si>
    <t xml:space="preserve">R5</t>
  </si>
  <si>
    <t xml:space="preserve">330 2ВТ</t>
  </si>
  <si>
    <t xml:space="preserve">OPT1</t>
  </si>
  <si>
    <t xml:space="preserve">HCPL3120</t>
  </si>
  <si>
    <t xml:space="preserve">DA2</t>
  </si>
  <si>
    <t xml:space="preserve">LM2940</t>
  </si>
  <si>
    <t xml:space="preserve">Q2</t>
  </si>
  <si>
    <t xml:space="preserve">STP80NF55</t>
  </si>
  <si>
    <t xml:space="preserve">Q1</t>
  </si>
  <si>
    <t xml:space="preserve">STP80PF55</t>
  </si>
  <si>
    <t xml:space="preserve">8. Разъёмы и кнопка</t>
  </si>
  <si>
    <t xml:space="preserve">X1, X2, X3, X4</t>
  </si>
  <si>
    <t xml:space="preserve">DG103-02P</t>
  </si>
  <si>
    <t xml:space="preserve">X5</t>
  </si>
  <si>
    <t xml:space="preserve">IDC10</t>
  </si>
  <si>
    <t xml:space="preserve">SA1</t>
  </si>
  <si>
    <t xml:space="preserve">KLS7-TS6601-4.3-180</t>
  </si>
  <si>
    <t xml:space="preserve">J1, J2</t>
  </si>
  <si>
    <t xml:space="preserve">SWD1</t>
  </si>
  <si>
    <t xml:space="preserve">9. Электролиты и модуль питания</t>
  </si>
  <si>
    <t xml:space="preserve">C10</t>
  </si>
  <si>
    <t xml:space="preserve">220uF 50v</t>
  </si>
  <si>
    <t xml:space="preserve">K50-35</t>
  </si>
  <si>
    <t xml:space="preserve">C5, C7</t>
  </si>
  <si>
    <t xml:space="preserve">680uF 50v</t>
  </si>
  <si>
    <t xml:space="preserve">C1, C2, C3</t>
  </si>
  <si>
    <t xml:space="preserve">1000uF 50v</t>
  </si>
  <si>
    <t xml:space="preserve">U1</t>
  </si>
  <si>
    <t xml:space="preserve">TEN 5-2422</t>
  </si>
  <si>
    <t xml:space="preserve">Итого: элементы и ориентировочная стоимость</t>
  </si>
  <si>
    <t xml:space="preserve">Метка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</si>
  <si>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</si>
  <si>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</si>
  <si>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</si>
  <si>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</si>
  <si>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</si>
  <si>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</si>
  <si>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</si>
  <si>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</si>
  <si>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</si>
  <si>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</si>
  <si>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</si>
  <si>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</si>
  <si>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</si>
  <si>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</si>
  <si>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</si>
  <si>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</si>
  <si>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</si>
  <si>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</si>
  <si>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</si>
  <si>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</si>
  <si>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</si>
  <si>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</si>
  <si>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</si>
  <si>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C34</t>
  </si>
  <si>
    <t xml:space="preserve">C35</t>
  </si>
  <si>
    <t xml:space="preserve">C36</t>
  </si>
  <si>
    <t xml:space="preserve">C38</t>
  </si>
  <si>
    <t xml:space="preserve">C39</t>
  </si>
  <si>
    <t xml:space="preserve">C40</t>
  </si>
  <si>
    <t xml:space="preserve">C43</t>
  </si>
  <si>
    <t xml:space="preserve">C44</t>
  </si>
  <si>
    <t xml:space="preserve">C46</t>
  </si>
  <si>
    <t xml:space="preserve">C53</t>
  </si>
  <si>
    <t xml:space="preserve">C57</t>
  </si>
  <si>
    <t xml:space="preserve">C58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</si>
  <si>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</si>
  <si>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</si>
  <si>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</si>
  <si>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</si>
  <si>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</si>
  <si>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C69</t>
  </si>
  <si>
    <t xml:space="preserve">C70</t>
  </si>
  <si>
    <t xml:space="preserve">C94</t>
  </si>
  <si>
    <t xml:space="preserve">C97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</si>
  <si>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</si>
  <si>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</si>
  <si>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</si>
  <si>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</si>
  <si>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</si>
  <si>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</si>
  <si>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</si>
  <si>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</si>
  <si>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SMBJ5A</t>
  </si>
  <si>
    <t xml:space="preserve">D10</t>
  </si>
  <si>
    <t xml:space="preserve">D11</t>
  </si>
  <si>
    <t xml:space="preserve">D13</t>
  </si>
  <si>
    <t xml:space="preserve">D14</t>
  </si>
  <si>
    <t xml:space="preserve">D15</t>
  </si>
  <si>
    <t xml:space="preserve">SMBJ5.0</t>
  </si>
  <si>
    <t xml:space="preserve">D16</t>
  </si>
  <si>
    <t xml:space="preserve">D17</t>
  </si>
  <si>
    <t xml:space="preserve">DA4</t>
  </si>
  <si>
    <t xml:space="preserve">DA5</t>
  </si>
  <si>
    <t xml:space="preserve">DA6</t>
  </si>
  <si>
    <t xml:space="preserve">DA7</t>
  </si>
  <si>
    <t xml:space="preserve">DA8</t>
  </si>
  <si>
    <t xml:space="preserve">J1</t>
  </si>
  <si>
    <t xml:space="preserve">J2</t>
  </si>
  <si>
    <t xml:space="preserve">R1</t>
  </si>
  <si>
    <t xml:space="preserve">R2</t>
  </si>
  <si>
    <t xml:space="preserve">R3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</si>
  <si>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</si>
  <si>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</si>
  <si>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</si>
  <si>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</si>
  <si>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</si>
  <si>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</si>
  <si>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</si>
  <si>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</si>
  <si>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</si>
  <si>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</si>
  <si>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</si>
  <si>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</si>
  <si>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</si>
  <si>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</si>
  <si>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</si>
  <si>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</si>
  <si>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</si>
  <si>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</si>
  <si>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</si>
  <si>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</si>
  <si>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</si>
  <si>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</si>
  <si>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</si>
  <si>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</si>
  <si>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</si>
  <si>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</si>
  <si>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</si>
  <si>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</si>
  <si>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</si>
  <si>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</si>
  <si>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</si>
  <si>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</si>
  <si>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</si>
  <si>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</si>
  <si>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</si>
  <si>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</si>
  <si>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</si>
  <si>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R46</t>
  </si>
  <si>
    <t xml:space="preserve">R47</t>
  </si>
  <si>
    <t xml:space="preserve">R49</t>
  </si>
  <si>
    <t xml:space="preserve">R51</t>
  </si>
  <si>
    <t xml:space="preserve">R53</t>
  </si>
  <si>
    <t xml:space="preserve">R54</t>
  </si>
  <si>
    <t xml:space="preserve">R59</t>
  </si>
  <si>
    <t xml:space="preserve">R68</t>
  </si>
  <si>
    <t xml:space="preserve">R69</t>
  </si>
  <si>
    <t xml:space="preserve">R71</t>
  </si>
  <si>
    <t xml:space="preserve">R72</t>
  </si>
  <si>
    <t xml:space="preserve">X1</t>
  </si>
  <si>
    <t xml:space="preserve">X2</t>
  </si>
  <si>
    <t xml:space="preserve">X3</t>
  </si>
  <si>
    <t xml:space="preserve">X4</t>
  </si>
  <si>
    <t xml:space="preserve">Ориентировочные цены комплектующих</t>
  </si>
  <si>
    <t xml:space="preserve">Проверено 20.09.2026. Цены за 1 шт.; без доставки, налогов, пошлин и наценок посредников.</t>
  </si>
  <si>
    <t xml:space="preserve">USD → RUB</t>
  </si>
  <si>
    <t xml:space="preserve">Курс ЦБ с 19.09.2026: https://www.cbr.ru/currency_base/daily/</t>
  </si>
  <si>
    <t xml:space="preserve">«Каталог» — найденная цена выбранного исполнения. «Оценка» — предположение; «Оценка по серии» — цена похожего номинала.</t>
  </si>
  <si>
    <t xml:space="preserve">Подбор исполнения служит только для оценки стоимости; метки, номиналы и типы в спецификации не заменены.</t>
  </si>
  <si>
    <t xml:space="preserve">Товар для оценки</t>
  </si>
  <si>
    <t xml:space="preserve">Цена источника</t>
  </si>
  <si>
    <t xml:space="preserve">Валюта</t>
  </si>
  <si>
    <t xml:space="preserve">Основание</t>
  </si>
  <si>
    <t xml:space="preserve">Пояснение</t>
  </si>
  <si>
    <t xml:space="preserve">Источник</t>
  </si>
  <si>
    <t xml:space="preserve">Точный артикул не подобран</t>
  </si>
  <si>
    <t xml:space="preserve">RUB</t>
  </si>
  <si>
    <t xml:space="preserve">Оценка</t>
  </si>
  <si>
    <t xml:space="preserve">Оценка для 3,3 нФ / 25 В / 0805; диэлектрик и допуск не заданы.</t>
  </si>
  <si>
    <t xml:space="preserve">Цена магазина не подтверждена</t>
  </si>
  <si>
    <t xml:space="preserve">Оценка для 56 нФ / 25 В / 0805; диэлектрик и допуск не заданы.</t>
  </si>
  <si>
    <t xml:space="preserve">CL21B104KACNNNC</t>
  </si>
  <si>
    <t xml:space="preserve">USD</t>
  </si>
  <si>
    <t xml:space="preserve">Каталог</t>
  </si>
  <si>
    <t xml:space="preserve">100 нФ, 25 В, 0805, X7R, ±10%; пример исполнения для оценки.</t>
  </si>
  <si>
    <t xml:space="preserve">https://www.digikey.com/en/products/detail/samsung-electro-mechanics/CL21B104KACNNNC/3886757</t>
  </si>
  <si>
    <t xml:space="preserve">CL21A106KAYNNNE</t>
  </si>
  <si>
    <t xml:space="preserve">10 мкФ, 25 В, 0805, X5R; пример исполнения. Нет в наличии на странице.</t>
  </si>
  <si>
    <t xml:space="preserve">https://www.digikey.com/en/products/detail/samsung-electro-mechanics/CL21A106KAYNNNE/3888549</t>
  </si>
  <si>
    <t xml:space="preserve">RC0805FR-071KL (1 кОм)</t>
  </si>
  <si>
    <t xml:space="preserve">Оценка по серии</t>
  </si>
  <si>
    <t xml:space="preserve">Ориентир по резистору 1 кОм серии 0805; цена именно номинала 51 не подтверждена.</t>
  </si>
  <si>
    <t xml:space="preserve">https://www.digikey.com/en/products/detail/yageo/RC0805FR-071KL/727444</t>
  </si>
  <si>
    <t xml:space="preserve">Ориентир по резистору 1 кОм серии 0805; цена именно номинала 475 не подтверждена.</t>
  </si>
  <si>
    <t xml:space="preserve">Цена за 1 шт.; скидки за количество не применены.</t>
  </si>
  <si>
    <t xml:space="preserve">Ориентир по резистору 1 кОм серии 0805; цена именно номинала 2.2K не подтверждена.</t>
  </si>
  <si>
    <t xml:space="preserve">Ориентир по резистору 1 кОм серии 0805; цена именно номинала 10K не подтверждена.</t>
  </si>
  <si>
    <t xml:space="preserve">Ориентир по резистору 1 кОм серии 0805; цена именно номинала 18K не подтверждена.</t>
  </si>
  <si>
    <t xml:space="preserve">Ориентир по резистору 1 кОм серии 0805; цена именно номинала 100K не подтверждена.</t>
  </si>
  <si>
    <t xml:space="preserve">BAS70W-04-7-F</t>
  </si>
  <si>
    <t xml:space="preserve">Нет в наличии на странице; цена под заказ.</t>
  </si>
  <si>
    <t xml:space="preserve">https://www.digikey.com/en/products/detail/diodes-incorporated/BAS70W-04-7-F/815026</t>
  </si>
  <si>
    <t xml:space="preserve">BAV99, SMC Diode Solutions</t>
  </si>
  <si>
    <t xml:space="preserve">Производитель в исходнике не задан; пример цены BAV99.</t>
  </si>
  <si>
    <t xml:space="preserve">https://www.digikey.com/en/products/detail/smc-diode-solutions/BAV99/6022507</t>
  </si>
  <si>
    <t xml:space="preserve">https://www.digikey.com/en/products/detail/diodes-incorporated/FMMT717TA/243276</t>
  </si>
  <si>
    <t xml:space="preserve">Оценка для 0,01 мкФ / 25 В / 1206; диэлектрик и допуск не заданы.</t>
  </si>
  <si>
    <t xml:space="preserve">Оценка для 0,03 мкФ / 25 В / 1206. Номинал 0,03 сохранён; не заменён на 0,033.</t>
  </si>
  <si>
    <t xml:space="preserve">Оценка для 0,1 мкФ / 25 В / 1206; диэлектрик и допуск не заданы.</t>
  </si>
  <si>
    <t xml:space="preserve">C3216X5R1E476M160AC</t>
  </si>
  <si>
    <t xml:space="preserve">47 мкФ, 25 В, 1206, X5R; пример исполнения. Нет в наличии на странице.</t>
  </si>
  <si>
    <t xml:space="preserve">https://www.digikey.com/en/products/detail/tdk/C3216X5R1E476M160AC/2792260</t>
  </si>
  <si>
    <t xml:space="preserve">RC1206FR-071KL (1 кОм)</t>
  </si>
  <si>
    <t xml:space="preserve">Ориентир по резистору 1 кОм серии 1206; цена именно номинала 10 не подтверждена.</t>
  </si>
  <si>
    <t xml:space="preserve">https://www.digikey.com/en/products/detail/yageo/RC1206FR-071KL/728387</t>
  </si>
  <si>
    <t xml:space="preserve">Ориентир по резистору 1 кОм серии 1206; цена именно номинала 180 не подтверждена.</t>
  </si>
  <si>
    <t xml:space="preserve">Ориентир по резистору 1 кОм серии 1206; цена именно номинала 2K не подтверждена.</t>
  </si>
  <si>
    <t xml:space="preserve">Ориентир по резистору 1 кОм серии 1206; цена именно номинала 10K не подтверждена.</t>
  </si>
  <si>
    <t xml:space="preserve">Ориентир по резистору 1 кОм серии 1206; цена именно номинала 14K не подтверждена.</t>
  </si>
  <si>
    <t xml:space="preserve">Ориентир по резистору 1 кОм серии 1206; цена именно номинала 20K не подтверждена.</t>
  </si>
  <si>
    <t xml:space="preserve">Ориентир по резистору 1 кОм серии 1206; цена именно номинала 25K не подтверждена.</t>
  </si>
  <si>
    <t xml:space="preserve">Ориентир по резистору 1 кОм серии 1206; цена именно номинала 30K не подтверждена.</t>
  </si>
  <si>
    <t xml:space="preserve">Ориентир по резистору 1 кОм серии 1206; цена именно номинала 51K не подтверждена.</t>
  </si>
  <si>
    <t xml:space="preserve">Ориентир по резистору 1 кОм серии 1206; цена именно номинала 100K не подтверждена.</t>
  </si>
  <si>
    <t xml:space="preserve">CL32B106KBJNNNE</t>
  </si>
  <si>
    <t xml:space="preserve">10 мкФ, 50 В, 1210, X7R; пример исполнения. Нет в наличии на странице.</t>
  </si>
  <si>
    <t xml:space="preserve">https://www.digikey.com/en/products/detail/samsung-electro-mechanics/CL32B106KBJNNNE/3889045</t>
  </si>
  <si>
    <t xml:space="preserve">24LC512-I/ST</t>
  </si>
  <si>
    <t xml:space="preserve">Для оценки взят TSSOP-8; корпус 24LC512 в исходнике не указан.</t>
  </si>
  <si>
    <t xml:space="preserve">https://www.digikey.com/en/products/detail/microchip-technology/24LC512-I-ST/2201938</t>
  </si>
  <si>
    <t xml:space="preserve">Оценка цены 74LVC1G125GV; предложение с подтверждённой ценой не найдено.</t>
  </si>
  <si>
    <t xml:space="preserve">ACS712ELCTR-05B-T</t>
  </si>
  <si>
    <t xml:space="preserve">Для оценки взято исполнение 5 А; в спецификации указан только ACS712.</t>
  </si>
  <si>
    <t xml:space="preserve">https://www.digikey.com/en/products/detail/allegro-microsystems/ACS712ELCTR-05B-T/1284593</t>
  </si>
  <si>
    <t xml:space="preserve">https://www.digikey.com/en/products/detail/analog-devices-inc/ADAU1701JSTZ/1246074</t>
  </si>
  <si>
    <t xml:space="preserve">ADM811RARTZ-REEL7</t>
  </si>
  <si>
    <t xml:space="preserve">Для оценки взято исполнение SOT-143-4.</t>
  </si>
  <si>
    <t xml:space="preserve">https://www.digikey.com/en/products/detail/analog-devices-inc/ADM811RARTZ-REEL7/1007315</t>
  </si>
  <si>
    <t xml:space="preserve">ASFL1-12.288MHZ-EC-T</t>
  </si>
  <si>
    <t xml:space="preserve">Для оценки взят суффикс EC-T; полный суффикс в исходнике отсутствует.</t>
  </si>
  <si>
    <t xml:space="preserve">https://www.digikey.com/en/products/detail/abracon-llc/ASFL1-12-288MHZ-EC-T/687856</t>
  </si>
  <si>
    <t xml:space="preserve">https://www.digikey.com/en/products/detail/texas-instruments/ISO1540DR/3587222</t>
  </si>
  <si>
    <t xml:space="preserve">https://www.digikey.com/en/products/detail/stmicroelectronics/LDL1117S33R/7102071</t>
  </si>
  <si>
    <t xml:space="preserve">OP2177ARZ</t>
  </si>
  <si>
    <t xml:space="preserve">Для оценки взят SOIC-8; полный суффикс отсутствует. Нет в наличии на странице.</t>
  </si>
  <si>
    <t xml:space="preserve">https://www.digikey.com/en/products/detail/analog-devices-inc/OP2177ARZ/820332</t>
  </si>
  <si>
    <t xml:space="preserve">TL494CDR</t>
  </si>
  <si>
    <t xml:space="preserve">Для оценки взят SOIC-16; корпус в исходнике не указан.</t>
  </si>
  <si>
    <t xml:space="preserve">https://www.digikey.com/en/products/detail/texas-instruments/TL494CDR/276936</t>
  </si>
  <si>
    <t xml:space="preserve">1.5KE30A, Littelfuse</t>
  </si>
  <si>
    <t xml:space="preserve">https://www.digikey.com/en/products/detail/littelfuse-inc/1-5KE30A/285858</t>
  </si>
  <si>
    <t xml:space="preserve">1N4744A, onsemi</t>
  </si>
  <si>
    <t xml:space="preserve">https://www.digikey.com/en/products/detail/onsemi/1N4744A/977267</t>
  </si>
  <si>
    <t xml:space="preserve">SMBJ12A, Littelfuse</t>
  </si>
  <si>
    <t xml:space="preserve">https://www.digikey.com/en/products/detail/littelfuse-inc/SMBJ12A/285970</t>
  </si>
  <si>
    <t xml:space="preserve">SMBJ3V3-E3/5B</t>
  </si>
  <si>
    <t xml:space="preserve">https://www.digikey.com/en/products/detail/vishay-general-semiconductor-diodes-division/SMBJ3V3-E3-5B/2147834</t>
  </si>
  <si>
    <t xml:space="preserve">SMBJ5.0A, Littelfuse</t>
  </si>
  <si>
    <t xml:space="preserve">Цена для объединённых по указанию пользователя D9 и D15.</t>
  </si>
  <si>
    <t xml:space="preserve">https://www.digikey.com/en/products/detail/littelfuse-inc/SMBJ5-0A/285950</t>
  </si>
  <si>
    <t xml:space="preserve">Оценка SR540; цена точного артикула в магазине не подтверждена.</t>
  </si>
  <si>
    <t xml:space="preserve">Оценка резистора 330 Ом, 2 Вт; материал и допуск не заданы.</t>
  </si>
  <si>
    <t xml:space="preserve">HCPL-3120-000E</t>
  </si>
  <si>
    <t xml:space="preserve">Для оценки взят DIP-8; суффикс в исходнике не указан.</t>
  </si>
  <si>
    <t xml:space="preserve">https://www.digikey.com/en/products/detail/broadcom-limited/HCPL-3120-000E/669903</t>
  </si>
  <si>
    <t xml:space="preserve">LM2940CT-5.0/NOPB</t>
  </si>
  <si>
    <t xml:space="preserve">Для оценки взято 5 В, TO-220; напряжение и корпус уточнить. Нет в наличии на странице.</t>
  </si>
  <si>
    <t xml:space="preserve">https://www.digikey.com/en/products/detail/texas-instruments/LM2940CT-5-0-NOPB/32575</t>
  </si>
  <si>
    <t xml:space="preserve">STP80NF55-08</t>
  </si>
  <si>
    <t xml:space="preserve">Tayda Electronics; суффикс -08 взят для оценки.</t>
  </si>
  <si>
    <t xml:space="preserve">https://www.taydaelectronics.com/stp80nf55-mosfet-8-mohm-80a-55v-n-channel-to-220-3-stp80nf55-08.html</t>
  </si>
  <si>
    <t xml:space="preserve">eBay, flex-direct: лот 2 шт. за $14,40. В смете учтена 1 шт.; покупка лота дороже.</t>
  </si>
  <si>
    <t xml:space="preserve">https://www.ebay.com/itm/126448719663</t>
  </si>
  <si>
    <t xml:space="preserve">Оценка клеммника DG103-02P; шаг и точное исполнение уточнить.</t>
  </si>
  <si>
    <t xml:space="preserve">Оценка IDC10; тип, шаг и ориентация разъёма не заданы.</t>
  </si>
  <si>
    <t xml:space="preserve">Оценка KLS7-TS6601-4.3-180; цена магазина не подтверждена.</t>
  </si>
  <si>
    <t xml:space="preserve">Бюджетный резерв на разъём. SWD1 — недостаточное обозначение для подбора товара.</t>
  </si>
  <si>
    <t xml:space="preserve">Оценка 220 мкФ, 50 В, радиальный электролит; размеры и серия не заданы.</t>
  </si>
  <si>
    <t xml:space="preserve">Оценка 680 мкФ, 50 В, радиальный электролит; размеры и серия не заданы.</t>
  </si>
  <si>
    <t xml:space="preserve">Оценка 1000 мкФ, 50 В, радиальный электролит; размеры и серия не заданы.</t>
  </si>
  <si>
    <t xml:space="preserve">https://www.digikey.com/en/products/detail/traco-power/TEN-5-2422/9383746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</si>
</sst>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595959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3"/>
    <col collapsed="false" customWidth="true" hidden="false" outlineLevel="0" max="3" min="3" style="1" width="25"/>
    <col collapsed="false" customWidth="true" hidden="false" outlineLevel="0" max="4" min="4" style="1" width="24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4" t="n">
        <v>1</v>
      </c>
      <c r="B3" s="5" t="s">
        <v>9</v>
      </c>
      <c r="C3" s="5" t="s">
        <v>10</v>
      </c>
      <c r="D3" s="5" t="s">
        <v>11</v>
      </c>
      <c r="E3" s="6" t="n">
        <f aca="false">LEN(B3)-LEN(SUBSTITUTE(B3,",",""))+1</f>
        <v>1</v>
      </c>
      <c r="F3" s="7" t="n">
        <f aca="false">'Цены и источники'!E8</f>
        <v>15</v>
      </c>
      <c r="G3" s="7" t="n">
        <f aca="false">IF(F3="","",E3*F3)</f>
        <v>15</v>
      </c>
      <c r="H3" s="4"/>
    </row>
    <row r="4" customFormat="false" ht="27.75" hidden="false" customHeight="true" outlineLevel="0" collapsed="false">
      <c r="A4" s="4" t="n">
        <v>2</v>
      </c>
      <c r="B4" s="5" t="s">
        <v>12</v>
      </c>
      <c r="C4" s="5" t="s">
        <v>13</v>
      </c>
      <c r="D4" s="5" t="s">
        <v>11</v>
      </c>
      <c r="E4" s="6" t="n">
        <f aca="false">LEN(B4)-LEN(SUBSTITUTE(B4,",",""))+1</f>
        <v>1</v>
      </c>
      <c r="F4" s="7" t="n">
        <f aca="false">'Цены и источники'!E9</f>
        <v>15</v>
      </c>
      <c r="G4" s="7" t="n">
        <f aca="false">IF(F4="","",E4*F4)</f>
        <v>15</v>
      </c>
      <c r="H4" s="4"/>
    </row>
    <row r="5" customFormat="false" ht="42" hidden="false" customHeight="true" outlineLevel="0" collapsed="false">
      <c r="A5" s="4" t="n">
        <v>3</v>
      </c>
      <c r="B5" s="5" t="s">
        <v>14</v>
      </c>
      <c r="C5" s="5" t="s">
        <v>15</v>
      </c>
      <c r="D5" s="5" t="s">
        <v>11</v>
      </c>
      <c r="E5" s="6" t="n">
        <f aca="false">LEN(B5)-LEN(SUBSTITUTE(B5,",",""))+1</f>
        <v>16</v>
      </c>
      <c r="F5" s="7" t="n">
        <f aca="false">'Цены и источники'!E10</f>
        <v>9.26</v>
      </c>
      <c r="G5" s="7" t="n">
        <f aca="false">IF(F5="","",E5*F5)</f>
        <v>148.16</v>
      </c>
      <c r="H5" s="4"/>
    </row>
    <row r="6" customFormat="false" ht="27.75" hidden="false" customHeight="true" outlineLevel="0" collapsed="false">
      <c r="A6" s="4" t="n">
        <v>4</v>
      </c>
      <c r="B6" s="5" t="s">
        <v>16</v>
      </c>
      <c r="C6" s="5" t="s">
        <v>17</v>
      </c>
      <c r="D6" s="5" t="s">
        <v>11</v>
      </c>
      <c r="E6" s="6" t="n">
        <f aca="false">LEN(B6)-LEN(SUBSTITUTE(B6,",",""))+1</f>
        <v>5</v>
      </c>
      <c r="F6" s="7" t="n">
        <f aca="false">'Цены и источники'!E11</f>
        <v>17.68</v>
      </c>
      <c r="G6" s="7" t="n">
        <f aca="false">IF(F6="","",E6*F6)</f>
        <v>88.4</v>
      </c>
      <c r="H6" s="4"/>
    </row>
    <row r="7" customFormat="false" ht="27.75" hidden="false" customHeight="true" outlineLevel="0" collapsed="false">
      <c r="A7" s="4" t="n">
        <v>5</v>
      </c>
      <c r="B7" s="5" t="s">
        <v>18</v>
      </c>
      <c r="C7" s="5" t="s">
        <v>19</v>
      </c>
      <c r="D7" s="5" t="s">
        <v>20</v>
      </c>
      <c r="E7" s="6" t="n">
        <f aca="false">LEN(B7)-LEN(SUBSTITUTE(B7,",",""))+1</f>
        <v>1</v>
      </c>
      <c r="F7" s="7" t="n">
        <f aca="false">'Цены и источники'!E12</f>
        <v>8.42</v>
      </c>
      <c r="G7" s="7" t="n">
        <f aca="false">IF(F7="","",E7*F7)</f>
        <v>8.42</v>
      </c>
      <c r="H7" s="4"/>
    </row>
    <row r="8" customFormat="false" ht="27.75" hidden="false" customHeight="true" outlineLevel="0" collapsed="false">
      <c r="A8" s="4" t="n">
        <v>6</v>
      </c>
      <c r="B8" s="5" t="s">
        <v>21</v>
      </c>
      <c r="C8" s="5" t="s">
        <v>22</v>
      </c>
      <c r="D8" s="5" t="s">
        <v>20</v>
      </c>
      <c r="E8" s="6" t="n">
        <f aca="false">LEN(B8)-LEN(SUBSTITUTE(B8,",",""))+1</f>
        <v>1</v>
      </c>
      <c r="F8" s="7" t="n">
        <f aca="false">'Цены и источники'!E13</f>
        <v>8.42</v>
      </c>
      <c r="G8" s="7" t="n">
        <f aca="false">IF(F8="","",E8*F8)</f>
        <v>8.42</v>
      </c>
      <c r="H8" s="4"/>
    </row>
    <row r="9" customFormat="false" ht="27.75" hidden="false" customHeight="true" outlineLevel="0" collapsed="false">
      <c r="A9" s="4" t="n">
        <v>7</v>
      </c>
      <c r="B9" s="5" t="s">
        <v>23</v>
      </c>
      <c r="C9" s="5" t="s">
        <v>24</v>
      </c>
      <c r="D9" s="5" t="s">
        <v>20</v>
      </c>
      <c r="E9" s="6" t="n">
        <f aca="false">LEN(B9)-LEN(SUBSTITUTE(B9,",",""))+1</f>
        <v>1</v>
      </c>
      <c r="F9" s="7" t="n">
        <f aca="false">'Цены и источники'!E14</f>
        <v>8.42</v>
      </c>
      <c r="G9" s="7" t="n">
        <f aca="false">IF(F9="","",E9*F9)</f>
        <v>8.42</v>
      </c>
      <c r="H9" s="4"/>
    </row>
    <row r="10" customFormat="false" ht="27.75" hidden="false" customHeight="true" outlineLevel="0" collapsed="false">
      <c r="A10" s="4" t="n">
        <v>8</v>
      </c>
      <c r="B10" s="5" t="s">
        <v>25</v>
      </c>
      <c r="C10" s="5" t="s">
        <v>26</v>
      </c>
      <c r="D10" s="5" t="s">
        <v>20</v>
      </c>
      <c r="E10" s="6" t="n">
        <f aca="false">LEN(B10)-LEN(SUBSTITUTE(B10,",",""))+1</f>
        <v>4</v>
      </c>
      <c r="F10" s="7" t="n">
        <f aca="false">'Цены и источники'!E15</f>
        <v>8.42</v>
      </c>
      <c r="G10" s="7" t="n">
        <f aca="false">IF(F10="","",E10*F10)</f>
        <v>33.68</v>
      </c>
      <c r="H10" s="4"/>
    </row>
    <row r="11" customFormat="false" ht="27.75" hidden="false" customHeight="true" outlineLevel="0" collapsed="false">
      <c r="A11" s="4" t="n">
        <v>9</v>
      </c>
      <c r="B11" s="5" t="s">
        <v>27</v>
      </c>
      <c r="C11" s="5" t="s">
        <v>28</v>
      </c>
      <c r="D11" s="5" t="s">
        <v>20</v>
      </c>
      <c r="E11" s="6" t="n">
        <f aca="false">LEN(B11)-LEN(SUBSTITUTE(B11,",",""))+1</f>
        <v>7</v>
      </c>
      <c r="F11" s="7" t="n">
        <f aca="false">'Цены и источники'!E16</f>
        <v>8.42</v>
      </c>
      <c r="G11" s="7" t="n">
        <f aca="false">IF(F11="","",E11*F11)</f>
        <v>58.94</v>
      </c>
      <c r="H11" s="4"/>
    </row>
    <row r="12" customFormat="false" ht="27.75" hidden="false" customHeight="true" outlineLevel="0" collapsed="false">
      <c r="A12" s="4" t="n">
        <v>10</v>
      </c>
      <c r="B12" s="5" t="s">
        <v>29</v>
      </c>
      <c r="C12" s="5" t="s">
        <v>30</v>
      </c>
      <c r="D12" s="5" t="s">
        <v>20</v>
      </c>
      <c r="E12" s="6" t="n">
        <f aca="false">LEN(B12)-LEN(SUBSTITUTE(B12,",",""))+1</f>
        <v>1</v>
      </c>
      <c r="F12" s="7" t="n">
        <f aca="false">'Цены и источники'!E17</f>
        <v>8.42</v>
      </c>
      <c r="G12" s="7" t="n">
        <f aca="false">IF(F12="","",E12*F12)</f>
        <v>8.42</v>
      </c>
      <c r="H12" s="4"/>
    </row>
    <row r="13" customFormat="false" ht="27.75" hidden="false" customHeight="true" outlineLevel="0" collapsed="false">
      <c r="A13" s="4" t="n">
        <v>11</v>
      </c>
      <c r="B13" s="5" t="s">
        <v>31</v>
      </c>
      <c r="C13" s="5" t="s">
        <v>32</v>
      </c>
      <c r="D13" s="5" t="s">
        <v>20</v>
      </c>
      <c r="E13" s="6" t="n">
        <f aca="false">LEN(B13)-LEN(SUBSTITUTE(B13,",",""))+1</f>
        <v>1</v>
      </c>
      <c r="F13" s="7" t="n">
        <f aca="false">'Цены и источники'!E18</f>
        <v>8.42</v>
      </c>
      <c r="G13" s="7" t="n">
        <f aca="false">IF(F13="","",E13*F13)</f>
        <v>8.42</v>
      </c>
      <c r="H13" s="4"/>
    </row>
    <row r="14" customFormat="false" ht="15" hidden="false" customHeight="true" outlineLevel="0" collapsed="false">
      <c r="A14" s="3" t="s">
        <v>33</v>
      </c>
      <c r="B14" s="3"/>
      <c r="C14" s="3"/>
      <c r="D14" s="3"/>
      <c r="E14" s="3"/>
      <c r="F14" s="3"/>
      <c r="G14" s="3"/>
      <c r="H14" s="3"/>
    </row>
    <row r="15" customFormat="false" ht="27.75" hidden="false" customHeight="true" outlineLevel="0" collapsed="false">
      <c r="A15" s="4" t="n">
        <v>12</v>
      </c>
      <c r="B15" s="5" t="s">
        <v>34</v>
      </c>
      <c r="C15" s="5" t="s">
        <v>35</v>
      </c>
      <c r="D15" s="5" t="s">
        <v>35</v>
      </c>
      <c r="E15" s="6" t="n">
        <f aca="false">LEN(B15)-LEN(SUBSTITUTE(B15,",",""))+1</f>
        <v>2</v>
      </c>
      <c r="F15" s="7" t="n">
        <f aca="false">'Цены и источники'!E19</f>
        <v>29.47</v>
      </c>
      <c r="G15" s="7" t="n">
        <f aca="false">IF(F15="","",E15*F15)</f>
        <v>58.94</v>
      </c>
      <c r="H15" s="4"/>
    </row>
    <row r="16" customFormat="false" ht="27.75" hidden="false" customHeight="true" outlineLevel="0" collapsed="false">
      <c r="A16" s="4" t="n">
        <v>13</v>
      </c>
      <c r="B16" s="5" t="s">
        <v>36</v>
      </c>
      <c r="C16" s="5"/>
      <c r="D16" s="5" t="s">
        <v>37</v>
      </c>
      <c r="E16" s="6" t="n">
        <f aca="false">LEN(B16)-LEN(SUBSTITUTE(B16,",",""))+1</f>
        <v>4</v>
      </c>
      <c r="F16" s="7" t="n">
        <f aca="false">'Цены и источники'!E20</f>
        <v>17.68</v>
      </c>
      <c r="G16" s="7" t="n">
        <f aca="false">IF(F16="","",E16*F16)</f>
        <v>70.72</v>
      </c>
      <c r="H16" s="4"/>
    </row>
    <row r="17" customFormat="false" ht="27.75" hidden="false" customHeight="true" outlineLevel="0" collapsed="false">
      <c r="A17" s="4" t="n">
        <v>14</v>
      </c>
      <c r="B17" s="5" t="s">
        <v>38</v>
      </c>
      <c r="C17" s="5" t="s">
        <v>39</v>
      </c>
      <c r="D17" s="5" t="s">
        <v>39</v>
      </c>
      <c r="E17" s="6" t="n">
        <f aca="false">LEN(B17)-LEN(SUBSTITUTE(B17,",",""))+1</f>
        <v>1</v>
      </c>
      <c r="F17" s="7" t="n">
        <f aca="false">'Цены и источники'!E21</f>
        <v>69.04</v>
      </c>
      <c r="G17" s="7" t="n">
        <f aca="false">IF(F17="","",E17*F17)</f>
        <v>69.04</v>
      </c>
      <c r="H17" s="4"/>
    </row>
    <row r="18" customFormat="false" ht="15" hidden="false" customHeight="true" outlineLevel="0" collapsed="false">
      <c r="A18" s="3" t="s">
        <v>40</v>
      </c>
      <c r="B18" s="3"/>
      <c r="C18" s="3"/>
      <c r="D18" s="3"/>
      <c r="E18" s="3"/>
      <c r="F18" s="3"/>
      <c r="G18" s="3"/>
      <c r="H18" s="3"/>
    </row>
    <row r="19" customFormat="false" ht="27.75" hidden="false" customHeight="true" outlineLevel="0" collapsed="false">
      <c r="A19" s="4" t="n">
        <v>15</v>
      </c>
      <c r="B19" s="5" t="s">
        <v>41</v>
      </c>
      <c r="C19" s="5" t="s">
        <v>42</v>
      </c>
      <c r="D19" s="5" t="s">
        <v>43</v>
      </c>
      <c r="E19" s="6" t="n">
        <f aca="false">LEN(B19)-LEN(SUBSTITUTE(B19,",",""))+1</f>
        <v>2</v>
      </c>
      <c r="F19" s="7" t="n">
        <f aca="false">'Цены и источники'!E22</f>
        <v>15</v>
      </c>
      <c r="G19" s="7" t="n">
        <f aca="false">IF(F19="","",E19*F19)</f>
        <v>30</v>
      </c>
      <c r="H19" s="4"/>
    </row>
    <row r="20" customFormat="false" ht="27.75" hidden="false" customHeight="true" outlineLevel="0" collapsed="false">
      <c r="A20" s="4" t="n">
        <v>16</v>
      </c>
      <c r="B20" s="5" t="s">
        <v>44</v>
      </c>
      <c r="C20" s="5" t="s">
        <v>45</v>
      </c>
      <c r="D20" s="5" t="s">
        <v>43</v>
      </c>
      <c r="E20" s="6" t="n">
        <f aca="false">LEN(B20)-LEN(SUBSTITUTE(B20,",",""))+1</f>
        <v>1</v>
      </c>
      <c r="F20" s="7" t="n">
        <f aca="false">'Цены и источники'!E23</f>
        <v>20</v>
      </c>
      <c r="G20" s="7" t="n">
        <f aca="false">IF(F20="","",E20*F20)</f>
        <v>20</v>
      </c>
      <c r="H20" s="4"/>
    </row>
    <row r="21" customFormat="false" ht="42" hidden="false" customHeight="true" outlineLevel="0" collapsed="false">
      <c r="A21" s="4" t="n">
        <v>17</v>
      </c>
      <c r="B21" s="5" t="s">
        <v>46</v>
      </c>
      <c r="C21" s="5" t="s">
        <v>47</v>
      </c>
      <c r="D21" s="5" t="s">
        <v>43</v>
      </c>
      <c r="E21" s="6" t="n">
        <f aca="false">LEN(B21)-LEN(SUBSTITUTE(B21,",",""))+1</f>
        <v>11</v>
      </c>
      <c r="F21" s="7" t="n">
        <f aca="false">'Цены и источники'!E24</f>
        <v>15</v>
      </c>
      <c r="G21" s="7" t="n">
        <f aca="false">IF(F21="","",E21*F21)</f>
        <v>165</v>
      </c>
      <c r="H21" s="4"/>
    </row>
    <row r="22" customFormat="false" ht="27.75" hidden="false" customHeight="true" outlineLevel="0" collapsed="false">
      <c r="A22" s="4" t="n">
        <v>18</v>
      </c>
      <c r="B22" s="5" t="s">
        <v>48</v>
      </c>
      <c r="C22" s="5" t="s">
        <v>49</v>
      </c>
      <c r="D22" s="5" t="s">
        <v>43</v>
      </c>
      <c r="E22" s="6" t="n">
        <f aca="false">LEN(B22)-LEN(SUBSTITUTE(B22,",",""))+1</f>
        <v>1</v>
      </c>
      <c r="F22" s="7" t="n">
        <f aca="false">'Цены и источники'!E25</f>
        <v>82.51</v>
      </c>
      <c r="G22" s="7" t="n">
        <f aca="false">IF(F22="","",E22*F22)</f>
        <v>82.51</v>
      </c>
      <c r="H22" s="4"/>
    </row>
    <row r="23" customFormat="false" ht="27.75" hidden="false" customHeight="true" outlineLevel="0" collapsed="false">
      <c r="A23" s="4" t="n">
        <v>19</v>
      </c>
      <c r="B23" s="5" t="s">
        <v>50</v>
      </c>
      <c r="C23" s="5" t="s">
        <v>51</v>
      </c>
      <c r="D23" s="5" t="s">
        <v>52</v>
      </c>
      <c r="E23" s="6" t="n">
        <f aca="false">LEN(B23)-LEN(SUBSTITUTE(B23,",",""))+1</f>
        <v>1</v>
      </c>
      <c r="F23" s="7" t="n">
        <f aca="false">'Цены и источники'!E26</f>
        <v>8.42</v>
      </c>
      <c r="G23" s="7" t="n">
        <f aca="false">IF(F23="","",E23*F23)</f>
        <v>8.42</v>
      </c>
      <c r="H23" s="4"/>
    </row>
    <row r="24" customFormat="false" ht="27.75" hidden="false" customHeight="true" outlineLevel="0" collapsed="false">
      <c r="A24" s="4" t="n">
        <v>20</v>
      </c>
      <c r="B24" s="5" t="s">
        <v>53</v>
      </c>
      <c r="C24" s="5" t="s">
        <v>54</v>
      </c>
      <c r="D24" s="5" t="s">
        <v>52</v>
      </c>
      <c r="E24" s="6" t="n">
        <f aca="false">LEN(B24)-LEN(SUBSTITUTE(B24,",",""))+1</f>
        <v>3</v>
      </c>
      <c r="F24" s="7" t="n">
        <f aca="false">'Цены и источники'!E27</f>
        <v>8.42</v>
      </c>
      <c r="G24" s="7" t="n">
        <f aca="false">IF(F24="","",E24*F24)</f>
        <v>25.26</v>
      </c>
      <c r="H24" s="4"/>
    </row>
    <row r="25" customFormat="false" ht="42" hidden="false" customHeight="true" outlineLevel="0" collapsed="false">
      <c r="A25" s="4" t="n">
        <v>21</v>
      </c>
      <c r="B25" s="5" t="s">
        <v>55</v>
      </c>
      <c r="C25" s="5" t="s">
        <v>24</v>
      </c>
      <c r="D25" s="5" t="s">
        <v>52</v>
      </c>
      <c r="E25" s="6" t="n">
        <f aca="false">LEN(B25)-LEN(SUBSTITUTE(B25,",",""))+1</f>
        <v>15</v>
      </c>
      <c r="F25" s="7" t="n">
        <f aca="false">'Цены и источники'!E28</f>
        <v>8.42</v>
      </c>
      <c r="G25" s="7" t="n">
        <f aca="false">IF(F25="","",E25*F25)</f>
        <v>126.3</v>
      </c>
      <c r="H25" s="4"/>
    </row>
    <row r="26" customFormat="false" ht="27.75" hidden="false" customHeight="true" outlineLevel="0" collapsed="false">
      <c r="A26" s="4" t="n">
        <v>22</v>
      </c>
      <c r="B26" s="5" t="s">
        <v>56</v>
      </c>
      <c r="C26" s="5" t="s">
        <v>57</v>
      </c>
      <c r="D26" s="5" t="s">
        <v>52</v>
      </c>
      <c r="E26" s="6" t="n">
        <f aca="false">LEN(B26)-LEN(SUBSTITUTE(B26,",",""))+1</f>
        <v>2</v>
      </c>
      <c r="F26" s="7" t="n">
        <f aca="false">'Цены и источники'!E29</f>
        <v>8.42</v>
      </c>
      <c r="G26" s="7" t="n">
        <f aca="false">IF(F26="","",E26*F26)</f>
        <v>16.84</v>
      </c>
      <c r="H26" s="4"/>
    </row>
    <row r="27" customFormat="false" ht="27.75" hidden="false" customHeight="true" outlineLevel="0" collapsed="false">
      <c r="A27" s="4" t="n">
        <v>23</v>
      </c>
      <c r="B27" s="5" t="s">
        <v>58</v>
      </c>
      <c r="C27" s="5" t="s">
        <v>28</v>
      </c>
      <c r="D27" s="5" t="s">
        <v>52</v>
      </c>
      <c r="E27" s="6" t="n">
        <f aca="false">LEN(B27)-LEN(SUBSTITUTE(B27,",",""))+1</f>
        <v>8</v>
      </c>
      <c r="F27" s="7" t="n">
        <f aca="false">'Цены и источники'!E30</f>
        <v>8.42</v>
      </c>
      <c r="G27" s="7" t="n">
        <f aca="false">IF(F27="","",E27*F27)</f>
        <v>67.36</v>
      </c>
      <c r="H27" s="4"/>
    </row>
    <row r="28" customFormat="false" ht="27.75" hidden="false" customHeight="true" outlineLevel="0" collapsed="false">
      <c r="A28" s="4" t="n">
        <v>24</v>
      </c>
      <c r="B28" s="5" t="s">
        <v>59</v>
      </c>
      <c r="C28" s="5" t="s">
        <v>60</v>
      </c>
      <c r="D28" s="5" t="s">
        <v>52</v>
      </c>
      <c r="E28" s="6" t="n">
        <f aca="false">LEN(B28)-LEN(SUBSTITUTE(B28,",",""))+1</f>
        <v>1</v>
      </c>
      <c r="F28" s="7" t="n">
        <f aca="false">'Цены и источники'!E31</f>
        <v>8.42</v>
      </c>
      <c r="G28" s="7" t="n">
        <f aca="false">IF(F28="","",E28*F28)</f>
        <v>8.42</v>
      </c>
      <c r="H28" s="4"/>
    </row>
    <row r="29" customFormat="false" ht="27.75" hidden="false" customHeight="true" outlineLevel="0" collapsed="false">
      <c r="A29" s="4" t="n">
        <v>25</v>
      </c>
      <c r="B29" s="5" t="s">
        <v>61</v>
      </c>
      <c r="C29" s="5" t="s">
        <v>62</v>
      </c>
      <c r="D29" s="5" t="s">
        <v>52</v>
      </c>
      <c r="E29" s="6" t="n">
        <f aca="false">LEN(B29)-LEN(SUBSTITUTE(B29,",",""))+1</f>
        <v>3</v>
      </c>
      <c r="F29" s="7" t="n">
        <f aca="false">'Цены и источники'!E32</f>
        <v>8.42</v>
      </c>
      <c r="G29" s="7" t="n">
        <f aca="false">IF(F29="","",E29*F29)</f>
        <v>25.26</v>
      </c>
      <c r="H29" s="4"/>
    </row>
    <row r="30" customFormat="false" ht="27.75" hidden="false" customHeight="true" outlineLevel="0" collapsed="false">
      <c r="A30" s="4" t="n">
        <v>26</v>
      </c>
      <c r="B30" s="5" t="s">
        <v>63</v>
      </c>
      <c r="C30" s="5" t="s">
        <v>64</v>
      </c>
      <c r="D30" s="5" t="s">
        <v>52</v>
      </c>
      <c r="E30" s="6" t="n">
        <f aca="false">LEN(B30)-LEN(SUBSTITUTE(B30,",",""))+1</f>
        <v>2</v>
      </c>
      <c r="F30" s="7" t="n">
        <f aca="false">'Цены и источники'!E33</f>
        <v>8.42</v>
      </c>
      <c r="G30" s="7" t="n">
        <f aca="false">IF(F30="","",E30*F30)</f>
        <v>16.84</v>
      </c>
      <c r="H30" s="4"/>
    </row>
    <row r="31" customFormat="false" ht="27.75" hidden="false" customHeight="true" outlineLevel="0" collapsed="false">
      <c r="A31" s="4" t="n">
        <v>27</v>
      </c>
      <c r="B31" s="5" t="s">
        <v>65</v>
      </c>
      <c r="C31" s="5" t="s">
        <v>66</v>
      </c>
      <c r="D31" s="5" t="s">
        <v>52</v>
      </c>
      <c r="E31" s="6" t="n">
        <f aca="false">LEN(B31)-LEN(SUBSTITUTE(B31,",",""))+1</f>
        <v>3</v>
      </c>
      <c r="F31" s="7" t="n">
        <f aca="false">'Цены и источники'!E34</f>
        <v>8.42</v>
      </c>
      <c r="G31" s="7" t="n">
        <f aca="false">IF(F31="","",E31*F31)</f>
        <v>25.26</v>
      </c>
      <c r="H31" s="4"/>
    </row>
    <row r="32" customFormat="false" ht="27.75" hidden="false" customHeight="true" outlineLevel="0" collapsed="false">
      <c r="A32" s="4" t="n">
        <v>28</v>
      </c>
      <c r="B32" s="5" t="s">
        <v>67</v>
      </c>
      <c r="C32" s="5" t="s">
        <v>68</v>
      </c>
      <c r="D32" s="5" t="s">
        <v>52</v>
      </c>
      <c r="E32" s="6" t="n">
        <f aca="false">LEN(B32)-LEN(SUBSTITUTE(B32,",",""))+1</f>
        <v>2</v>
      </c>
      <c r="F32" s="7" t="n">
        <f aca="false">'Цены и источники'!E35</f>
        <v>8.42</v>
      </c>
      <c r="G32" s="7" t="n">
        <f aca="false">IF(F32="","",E32*F32)</f>
        <v>16.84</v>
      </c>
      <c r="H32" s="4"/>
    </row>
    <row r="33" customFormat="false" ht="27.75" hidden="false" customHeight="true" outlineLevel="0" collapsed="false">
      <c r="A33" s="4" t="n">
        <v>29</v>
      </c>
      <c r="B33" s="5" t="s">
        <v>69</v>
      </c>
      <c r="C33" s="5" t="s">
        <v>32</v>
      </c>
      <c r="D33" s="5" t="s">
        <v>52</v>
      </c>
      <c r="E33" s="6" t="n">
        <f aca="false">LEN(B33)-LEN(SUBSTITUTE(B33,",",""))+1</f>
        <v>2</v>
      </c>
      <c r="F33" s="7" t="n">
        <f aca="false">'Цены и источники'!E36</f>
        <v>8.42</v>
      </c>
      <c r="G33" s="7" t="n">
        <f aca="false">IF(F33="","",E33*F33)</f>
        <v>16.84</v>
      </c>
      <c r="H33" s="4"/>
    </row>
    <row r="34" customFormat="false" ht="15" hidden="false" customHeight="true" outlineLevel="0" collapsed="false">
      <c r="A34" s="3" t="s">
        <v>70</v>
      </c>
      <c r="B34" s="3"/>
      <c r="C34" s="3"/>
      <c r="D34" s="3"/>
      <c r="E34" s="3"/>
      <c r="F34" s="3"/>
      <c r="G34" s="3"/>
      <c r="H34" s="3"/>
    </row>
    <row r="35" customFormat="false" ht="27.75" hidden="false" customHeight="true" outlineLevel="0" collapsed="false">
      <c r="A35" s="4" t="n">
        <v>30</v>
      </c>
      <c r="B35" s="5" t="s">
        <v>71</v>
      </c>
      <c r="C35" s="5" t="s">
        <v>72</v>
      </c>
      <c r="D35" s="5" t="s">
        <v>73</v>
      </c>
      <c r="E35" s="6" t="n">
        <f aca="false">LEN(B35)-LEN(SUBSTITUTE(B35,",",""))+1</f>
        <v>5</v>
      </c>
      <c r="F35" s="7" t="n">
        <f aca="false">'Цены и источники'!E37</f>
        <v>58.1</v>
      </c>
      <c r="G35" s="7" t="n">
        <f aca="false">IF(F35="","",E35*F35)</f>
        <v>290.5</v>
      </c>
      <c r="H35" s="4"/>
    </row>
    <row r="36" customFormat="false" ht="15" hidden="false" customHeight="true" outlineLevel="0" collapsed="false">
      <c r="A36" s="3" t="s">
        <v>74</v>
      </c>
      <c r="B36" s="3"/>
      <c r="C36" s="3"/>
      <c r="D36" s="3"/>
      <c r="E36" s="3"/>
      <c r="F36" s="3"/>
      <c r="G36" s="3"/>
      <c r="H36" s="3"/>
    </row>
    <row r="37" customFormat="false" ht="27.75" hidden="false" customHeight="true" outlineLevel="0" collapsed="false">
      <c r="A37" s="4" t="n">
        <v>31</v>
      </c>
      <c r="B37" s="5" t="s">
        <v>75</v>
      </c>
      <c r="C37" s="5" t="s">
        <v>76</v>
      </c>
      <c r="D37" s="5" t="s">
        <v>76</v>
      </c>
      <c r="E37" s="6" t="n">
        <f aca="false">LEN(B37)-LEN(SUBSTITUTE(B37,",",""))+1</f>
        <v>1</v>
      </c>
      <c r="F37" s="7" t="n">
        <f aca="false">'Цены и источники'!E38</f>
        <v>154.08</v>
      </c>
      <c r="G37" s="7" t="n">
        <f aca="false">IF(F37="","",E37*F37)</f>
        <v>154.08</v>
      </c>
      <c r="H37" s="4"/>
    </row>
    <row r="38" customFormat="false" ht="27.75" hidden="false" customHeight="true" outlineLevel="0" collapsed="false">
      <c r="A38" s="4" t="n">
        <v>32</v>
      </c>
      <c r="B38" s="5" t="s">
        <v>77</v>
      </c>
      <c r="C38" s="5" t="s">
        <v>78</v>
      </c>
      <c r="D38" s="5" t="s">
        <v>78</v>
      </c>
      <c r="E38" s="6" t="n">
        <f aca="false">LEN(B38)-LEN(SUBSTITUTE(B38,",",""))+1</f>
        <v>1</v>
      </c>
      <c r="F38" s="7" t="n">
        <f aca="false">'Цены и источники'!E39</f>
        <v>30</v>
      </c>
      <c r="G38" s="7" t="n">
        <f aca="false">IF(F38="","",E38*F38)</f>
        <v>30</v>
      </c>
      <c r="H38" s="4"/>
    </row>
    <row r="39" customFormat="false" ht="27.75" hidden="false" customHeight="true" outlineLevel="0" collapsed="false">
      <c r="A39" s="4" t="n">
        <v>33</v>
      </c>
      <c r="B39" s="5" t="s">
        <v>79</v>
      </c>
      <c r="C39" s="5" t="s">
        <v>80</v>
      </c>
      <c r="D39" s="5" t="s">
        <v>80</v>
      </c>
      <c r="E39" s="6" t="n">
        <f aca="false">LEN(B39)-LEN(SUBSTITUTE(B39,",",""))+1</f>
        <v>1</v>
      </c>
      <c r="F39" s="7" t="n">
        <f aca="false">'Цены и источники'!E40</f>
        <v>336.79</v>
      </c>
      <c r="G39" s="7" t="n">
        <f aca="false">IF(F39="","",E39*F39)</f>
        <v>336.79</v>
      </c>
      <c r="H39" s="4"/>
    </row>
    <row r="40" customFormat="false" ht="27.75" hidden="false" customHeight="true" outlineLevel="0" collapsed="false">
      <c r="A40" s="4" t="n">
        <v>34</v>
      </c>
      <c r="B40" s="5" t="s">
        <v>81</v>
      </c>
      <c r="C40" s="5" t="s">
        <v>82</v>
      </c>
      <c r="D40" s="5" t="s">
        <v>82</v>
      </c>
      <c r="E40" s="6" t="n">
        <f aca="false">LEN(B40)-LEN(SUBSTITUTE(B40,",",""))+1</f>
        <v>1</v>
      </c>
      <c r="F40" s="7" t="n">
        <f aca="false">'Цены и источники'!E41</f>
        <v>1243.6</v>
      </c>
      <c r="G40" s="7" t="n">
        <f aca="false">IF(F40="","",E40*F40)</f>
        <v>1243.6</v>
      </c>
      <c r="H40" s="4"/>
    </row>
    <row r="41" customFormat="false" ht="27.75" hidden="false" customHeight="true" outlineLevel="0" collapsed="false">
      <c r="A41" s="4" t="n">
        <v>35</v>
      </c>
      <c r="B41" s="5" t="s">
        <v>83</v>
      </c>
      <c r="C41" s="5" t="s">
        <v>84</v>
      </c>
      <c r="D41" s="5" t="s">
        <v>84</v>
      </c>
      <c r="E41" s="6" t="n">
        <f aca="false">LEN(B41)-LEN(SUBSTITUTE(B41,",",""))+1</f>
        <v>1</v>
      </c>
      <c r="F41" s="7" t="n">
        <f aca="false">'Цены и источники'!E42</f>
        <v>178.5</v>
      </c>
      <c r="G41" s="7" t="n">
        <f aca="false">IF(F41="","",E41*F41)</f>
        <v>178.5</v>
      </c>
      <c r="H41" s="4"/>
    </row>
    <row r="42" customFormat="false" ht="27.75" hidden="false" customHeight="true" outlineLevel="0" collapsed="false">
      <c r="A42" s="4" t="n">
        <v>36</v>
      </c>
      <c r="B42" s="5" t="s">
        <v>85</v>
      </c>
      <c r="C42" s="5" t="s">
        <v>86</v>
      </c>
      <c r="D42" s="5" t="s">
        <v>86</v>
      </c>
      <c r="E42" s="6" t="n">
        <f aca="false">LEN(B42)-LEN(SUBSTITUTE(B42,",",""))+1</f>
        <v>1</v>
      </c>
      <c r="F42" s="7" t="n">
        <f aca="false">'Цены и источники'!E43</f>
        <v>184.39</v>
      </c>
      <c r="G42" s="7" t="n">
        <f aca="false">IF(F42="","",E42*F42)</f>
        <v>184.39</v>
      </c>
      <c r="H42" s="4"/>
    </row>
    <row r="43" customFormat="false" ht="27.75" hidden="false" customHeight="true" outlineLevel="0" collapsed="false">
      <c r="A43" s="4" t="n">
        <v>37</v>
      </c>
      <c r="B43" s="5" t="s">
        <v>87</v>
      </c>
      <c r="C43" s="5" t="s">
        <v>88</v>
      </c>
      <c r="D43" s="5" t="s">
        <v>88</v>
      </c>
      <c r="E43" s="6" t="n">
        <f aca="false">LEN(B43)-LEN(SUBSTITUTE(B43,",",""))+1</f>
        <v>1</v>
      </c>
      <c r="F43" s="7" t="n">
        <f aca="false">'Цены и источники'!E44</f>
        <v>394.04</v>
      </c>
      <c r="G43" s="7" t="n">
        <f aca="false">IF(F43="","",E43*F43)</f>
        <v>394.04</v>
      </c>
      <c r="H43" s="4"/>
    </row>
    <row r="44" customFormat="false" ht="27.75" hidden="false" customHeight="true" outlineLevel="0" collapsed="false">
      <c r="A44" s="4" t="n">
        <v>38</v>
      </c>
      <c r="B44" s="5" t="s">
        <v>89</v>
      </c>
      <c r="C44" s="5" t="s">
        <v>90</v>
      </c>
      <c r="D44" s="5" t="s">
        <v>90</v>
      </c>
      <c r="E44" s="6" t="n">
        <f aca="false">LEN(B44)-LEN(SUBSTITUTE(B44,",",""))+1</f>
        <v>1</v>
      </c>
      <c r="F44" s="7" t="n">
        <f aca="false">'Цены и источники'!E45</f>
        <v>34.52</v>
      </c>
      <c r="G44" s="7" t="n">
        <f aca="false">IF(F44="","",E44*F44)</f>
        <v>34.52</v>
      </c>
      <c r="H44" s="4"/>
    </row>
    <row r="45" customFormat="false" ht="27.75" hidden="false" customHeight="true" outlineLevel="0" collapsed="false">
      <c r="A45" s="4" t="n">
        <v>39</v>
      </c>
      <c r="B45" s="5" t="s">
        <v>91</v>
      </c>
      <c r="C45" s="5"/>
      <c r="D45" s="5" t="s">
        <v>92</v>
      </c>
      <c r="E45" s="6" t="n">
        <f aca="false">LEN(B45)-LEN(SUBSTITUTE(B45,",",""))+1</f>
        <v>5</v>
      </c>
      <c r="F45" s="7" t="n">
        <f aca="false">'Цены и источники'!E46</f>
        <v>556.55</v>
      </c>
      <c r="G45" s="7" t="n">
        <f aca="false">IF(F45="","",E45*F45)</f>
        <v>2782.75</v>
      </c>
      <c r="H45" s="4"/>
    </row>
    <row r="46" customFormat="false" ht="27.75" hidden="false" customHeight="true" outlineLevel="0" collapsed="false">
      <c r="A46" s="4" t="n">
        <v>40</v>
      </c>
      <c r="B46" s="5" t="s">
        <v>93</v>
      </c>
      <c r="C46" s="5"/>
      <c r="D46" s="5" t="s">
        <v>94</v>
      </c>
      <c r="E46" s="6" t="n">
        <f aca="false">LEN(B46)-LEN(SUBSTITUTE(B46,",",""))+1</f>
        <v>1</v>
      </c>
      <c r="F46" s="7" t="n">
        <f aca="false">'Цены и источники'!E47</f>
        <v>37.89</v>
      </c>
      <c r="G46" s="7" t="n">
        <f aca="false">IF(F46="","",E46*F46)</f>
        <v>37.89</v>
      </c>
      <c r="H46" s="4"/>
    </row>
    <row r="47" customFormat="false" ht="15" hidden="false" customHeight="true" outlineLevel="0" collapsed="false">
      <c r="A47" s="3" t="s">
        <v>95</v>
      </c>
      <c r="B47" s="3"/>
      <c r="C47" s="3"/>
      <c r="D47" s="3"/>
      <c r="E47" s="3"/>
      <c r="F47" s="3"/>
      <c r="G47" s="3"/>
      <c r="H47" s="3"/>
    </row>
    <row r="48" customFormat="false" ht="27.75" hidden="false" customHeight="true" outlineLevel="0" collapsed="false">
      <c r="A48" s="4" t="n">
        <v>41</v>
      </c>
      <c r="B48" s="5" t="s">
        <v>96</v>
      </c>
      <c r="C48" s="5" t="s">
        <v>97</v>
      </c>
      <c r="D48" s="5" t="s">
        <v>97</v>
      </c>
      <c r="E48" s="6" t="n">
        <f aca="false">LEN(B48)-LEN(SUBSTITUTE(B48,",",""))+1</f>
        <v>1</v>
      </c>
      <c r="F48" s="7" t="n">
        <f aca="false">'Цены и источники'!E48</f>
        <v>77.46</v>
      </c>
      <c r="G48" s="7" t="n">
        <f aca="false">IF(F48="","",E48*F48)</f>
        <v>77.46</v>
      </c>
      <c r="H48" s="4"/>
    </row>
    <row r="49" customFormat="false" ht="27.75" hidden="false" customHeight="true" outlineLevel="0" collapsed="false">
      <c r="A49" s="4" t="n">
        <v>42</v>
      </c>
      <c r="B49" s="5" t="s">
        <v>98</v>
      </c>
      <c r="C49" s="5" t="s">
        <v>99</v>
      </c>
      <c r="D49" s="5" t="s">
        <v>99</v>
      </c>
      <c r="E49" s="6" t="n">
        <f aca="false">LEN(B49)-LEN(SUBSTITUTE(B49,",",""))+1</f>
        <v>3</v>
      </c>
      <c r="F49" s="7" t="n">
        <f aca="false">'Цены и источники'!E49</f>
        <v>23.58</v>
      </c>
      <c r="G49" s="7" t="n">
        <f aca="false">IF(F49="","",E49*F49)</f>
        <v>70.74</v>
      </c>
      <c r="H49" s="4"/>
    </row>
    <row r="50" customFormat="false" ht="27.75" hidden="false" customHeight="true" outlineLevel="0" collapsed="false">
      <c r="A50" s="4" t="n">
        <v>43</v>
      </c>
      <c r="B50" s="5" t="s">
        <v>100</v>
      </c>
      <c r="C50" s="5" t="s">
        <v>101</v>
      </c>
      <c r="D50" s="5" t="s">
        <v>101</v>
      </c>
      <c r="E50" s="6" t="n">
        <f aca="false">LEN(B50)-LEN(SUBSTITUTE(B50,",",""))+1</f>
        <v>2</v>
      </c>
      <c r="F50" s="7" t="n">
        <f aca="false">'Цены и источники'!E50</f>
        <v>41.26</v>
      </c>
      <c r="G50" s="7" t="n">
        <f aca="false">IF(F50="","",E50*F50)</f>
        <v>82.52</v>
      </c>
      <c r="H50" s="4"/>
    </row>
    <row r="51" customFormat="false" ht="27.75" hidden="false" customHeight="true" outlineLevel="0" collapsed="false">
      <c r="A51" s="4" t="n">
        <v>44</v>
      </c>
      <c r="B51" s="5" t="s">
        <v>102</v>
      </c>
      <c r="C51" s="5" t="s">
        <v>103</v>
      </c>
      <c r="D51" s="5" t="s">
        <v>103</v>
      </c>
      <c r="E51" s="6" t="n">
        <f aca="false">LEN(B51)-LEN(SUBSTITUTE(B51,",",""))+1</f>
        <v>1</v>
      </c>
      <c r="F51" s="7" t="n">
        <f aca="false">'Цены и источники'!E51</f>
        <v>63.15</v>
      </c>
      <c r="G51" s="7" t="n">
        <f aca="false">IF(F51="","",E51*F51)</f>
        <v>63.15</v>
      </c>
      <c r="H51" s="4"/>
    </row>
    <row r="52" customFormat="false" ht="27.75" hidden="false" customHeight="true" outlineLevel="0" collapsed="false">
      <c r="A52" s="4" t="n">
        <v>45</v>
      </c>
      <c r="B52" s="5" t="s">
        <v>104</v>
      </c>
      <c r="C52" s="5" t="s">
        <v>105</v>
      </c>
      <c r="D52" s="5" t="s">
        <v>105</v>
      </c>
      <c r="E52" s="6" t="n">
        <f aca="false">LEN(B52)-LEN(SUBSTITUTE(B52,",",""))+1</f>
        <v>2</v>
      </c>
      <c r="F52" s="7" t="n">
        <f aca="false">'Цены и источники'!E52</f>
        <v>42.1</v>
      </c>
      <c r="G52" s="7" t="n">
        <f aca="false">IF(F52="","",E52*F52)</f>
        <v>84.2</v>
      </c>
      <c r="H52" s="4"/>
    </row>
    <row r="53" customFormat="false" ht="27.75" hidden="false" customHeight="true" outlineLevel="0" collapsed="false">
      <c r="A53" s="4" t="n">
        <v>46</v>
      </c>
      <c r="B53" s="5" t="s">
        <v>106</v>
      </c>
      <c r="C53" s="5" t="s">
        <v>107</v>
      </c>
      <c r="D53" s="5" t="s">
        <v>107</v>
      </c>
      <c r="E53" s="6" t="n">
        <f aca="false">LEN(B53)-LEN(SUBSTITUTE(B53,",",""))+1</f>
        <v>2</v>
      </c>
      <c r="F53" s="7" t="n">
        <f aca="false">'Цены и источники'!E53</f>
        <v>35</v>
      </c>
      <c r="G53" s="7" t="n">
        <f aca="false">IF(F53="","",E53*F53)</f>
        <v>70</v>
      </c>
      <c r="H53" s="4"/>
    </row>
    <row r="54" customFormat="false" ht="15" hidden="false" customHeight="true" outlineLevel="0" collapsed="false">
      <c r="A54" s="3" t="s">
        <v>108</v>
      </c>
      <c r="B54" s="3"/>
      <c r="C54" s="3"/>
      <c r="D54" s="3"/>
      <c r="E54" s="3"/>
      <c r="F54" s="3"/>
      <c r="G54" s="3"/>
      <c r="H54" s="3"/>
    </row>
    <row r="55" customFormat="false" ht="27.75" hidden="false" customHeight="true" outlineLevel="0" collapsed="false">
      <c r="A55" s="4" t="n">
        <v>47</v>
      </c>
      <c r="B55" s="5" t="s">
        <v>109</v>
      </c>
      <c r="C55" s="5" t="s">
        <v>110</v>
      </c>
      <c r="D55" s="5" t="s">
        <v>110</v>
      </c>
      <c r="E55" s="6" t="n">
        <f aca="false">LEN(B55)-LEN(SUBSTITUTE(B55,",",""))+1</f>
        <v>1</v>
      </c>
      <c r="F55" s="7" t="n">
        <f aca="false">'Цены и источники'!E54</f>
        <v>25</v>
      </c>
      <c r="G55" s="7" t="n">
        <f aca="false">IF(F55="","",E55*F55)</f>
        <v>25</v>
      </c>
      <c r="H55" s="4"/>
    </row>
    <row r="56" customFormat="false" ht="27.75" hidden="false" customHeight="true" outlineLevel="0" collapsed="false">
      <c r="A56" s="4" t="n">
        <v>48</v>
      </c>
      <c r="B56" s="5" t="s">
        <v>111</v>
      </c>
      <c r="C56" s="5" t="s">
        <v>112</v>
      </c>
      <c r="D56" s="5" t="s">
        <v>112</v>
      </c>
      <c r="E56" s="6" t="n">
        <f aca="false">LEN(B56)-LEN(SUBSTITUTE(B56,",",""))+1</f>
        <v>1</v>
      </c>
      <c r="F56" s="7" t="n">
        <f aca="false">'Цены и источники'!E55</f>
        <v>323.32</v>
      </c>
      <c r="G56" s="7" t="n">
        <f aca="false">IF(F56="","",E56*F56)</f>
        <v>323.32</v>
      </c>
      <c r="H56" s="4"/>
    </row>
    <row r="57" customFormat="false" ht="27.75" hidden="false" customHeight="true" outlineLevel="0" collapsed="false">
      <c r="A57" s="4" t="n">
        <v>49</v>
      </c>
      <c r="B57" s="5" t="s">
        <v>113</v>
      </c>
      <c r="C57" s="5" t="s">
        <v>114</v>
      </c>
      <c r="D57" s="5" t="s">
        <v>114</v>
      </c>
      <c r="E57" s="6" t="n">
        <f aca="false">LEN(B57)-LEN(SUBSTITUTE(B57,",",""))+1</f>
        <v>1</v>
      </c>
      <c r="F57" s="7" t="n">
        <f aca="false">'Цены и источники'!E56</f>
        <v>168.4</v>
      </c>
      <c r="G57" s="7" t="n">
        <f aca="false">IF(F57="","",E57*F57)</f>
        <v>168.4</v>
      </c>
      <c r="H57" s="4"/>
    </row>
    <row r="58" customFormat="false" ht="27.75" hidden="false" customHeight="true" outlineLevel="0" collapsed="false">
      <c r="A58" s="4" t="n">
        <v>50</v>
      </c>
      <c r="B58" s="5" t="s">
        <v>115</v>
      </c>
      <c r="C58" s="5" t="s">
        <v>116</v>
      </c>
      <c r="D58" s="5" t="s">
        <v>116</v>
      </c>
      <c r="E58" s="6" t="n">
        <f aca="false">LEN(B58)-LEN(SUBSTITUTE(B58,",",""))+1</f>
        <v>1</v>
      </c>
      <c r="F58" s="7" t="n">
        <f aca="false">'Цены и источники'!E57</f>
        <v>63.15</v>
      </c>
      <c r="G58" s="7" t="n">
        <f aca="false">IF(F58="","",E58*F58)</f>
        <v>63.15</v>
      </c>
      <c r="H58" s="4"/>
    </row>
    <row r="59" customFormat="false" ht="27.75" hidden="false" customHeight="true" outlineLevel="0" collapsed="false">
      <c r="A59" s="4" t="n">
        <v>51</v>
      </c>
      <c r="B59" s="5" t="s">
        <v>117</v>
      </c>
      <c r="C59" s="5" t="s">
        <v>118</v>
      </c>
      <c r="D59" s="5" t="s">
        <v>118</v>
      </c>
      <c r="E59" s="6" t="n">
        <f aca="false">LEN(B59)-LEN(SUBSTITUTE(B59,",",""))+1</f>
        <v>1</v>
      </c>
      <c r="F59" s="7" t="n">
        <f aca="false">'Цены и источники'!E58</f>
        <v>606.22</v>
      </c>
      <c r="G59" s="7" t="n">
        <f aca="false">IF(F59="","",E59*F59)</f>
        <v>606.22</v>
      </c>
      <c r="H59" s="4"/>
    </row>
    <row r="60" customFormat="false" ht="15" hidden="false" customHeight="true" outlineLevel="0" collapsed="false">
      <c r="A60" s="3" t="s">
        <v>119</v>
      </c>
      <c r="B60" s="3"/>
      <c r="C60" s="3"/>
      <c r="D60" s="3"/>
      <c r="E60" s="3"/>
      <c r="F60" s="3"/>
      <c r="G60" s="3"/>
      <c r="H60" s="3"/>
    </row>
    <row r="61" customFormat="false" ht="27.75" hidden="false" customHeight="true" outlineLevel="0" collapsed="false">
      <c r="A61" s="4" t="n">
        <v>52</v>
      </c>
      <c r="B61" s="5" t="s">
        <v>120</v>
      </c>
      <c r="C61" s="5"/>
      <c r="D61" s="5" t="s">
        <v>121</v>
      </c>
      <c r="E61" s="6" t="n">
        <f aca="false">LEN(B61)-LEN(SUBSTITUTE(B61,",",""))+1</f>
        <v>4</v>
      </c>
      <c r="F61" s="7" t="n">
        <f aca="false">'Цены и источники'!E59</f>
        <v>60</v>
      </c>
      <c r="G61" s="7" t="n">
        <f aca="false">IF(F61="","",E61*F61)</f>
        <v>240</v>
      </c>
      <c r="H61" s="4"/>
    </row>
    <row r="62" customFormat="false" ht="27.75" hidden="false" customHeight="true" outlineLevel="0" collapsed="false">
      <c r="A62" s="4" t="n">
        <v>53</v>
      </c>
      <c r="B62" s="5" t="s">
        <v>122</v>
      </c>
      <c r="C62" s="5"/>
      <c r="D62" s="5" t="s">
        <v>123</v>
      </c>
      <c r="E62" s="6" t="n">
        <f aca="false">LEN(B62)-LEN(SUBSTITUTE(B62,",",""))+1</f>
        <v>1</v>
      </c>
      <c r="F62" s="7" t="n">
        <f aca="false">'Цены и источники'!E60</f>
        <v>40</v>
      </c>
      <c r="G62" s="7" t="n">
        <f aca="false">IF(F62="","",E62*F62)</f>
        <v>40</v>
      </c>
      <c r="H62" s="4"/>
    </row>
    <row r="63" customFormat="false" ht="27.75" hidden="false" customHeight="true" outlineLevel="0" collapsed="false">
      <c r="A63" s="4" t="n">
        <v>54</v>
      </c>
      <c r="B63" s="5" t="s">
        <v>124</v>
      </c>
      <c r="C63" s="5" t="s">
        <v>125</v>
      </c>
      <c r="D63" s="5" t="s">
        <v>125</v>
      </c>
      <c r="E63" s="6" t="n">
        <f aca="false">LEN(B63)-LEN(SUBSTITUTE(B63,",",""))+1</f>
        <v>1</v>
      </c>
      <c r="F63" s="7" t="n">
        <f aca="false">'Цены и источники'!E61</f>
        <v>15</v>
      </c>
      <c r="G63" s="7" t="n">
        <f aca="false">IF(F63="","",E63*F63)</f>
        <v>15</v>
      </c>
      <c r="H63" s="4"/>
    </row>
    <row r="64" customFormat="false" ht="27.75" hidden="false" customHeight="true" outlineLevel="0" collapsed="false">
      <c r="A64" s="4" t="n">
        <v>55</v>
      </c>
      <c r="B64" s="5" t="s">
        <v>126</v>
      </c>
      <c r="C64" s="5"/>
      <c r="D64" s="5" t="s">
        <v>127</v>
      </c>
      <c r="E64" s="6" t="n">
        <f aca="false">LEN(B64)-LEN(SUBSTITUTE(B64,",",""))+1</f>
        <v>2</v>
      </c>
      <c r="F64" s="7" t="n">
        <f aca="false">'Цены и источники'!E62</f>
        <v>50</v>
      </c>
      <c r="G64" s="7" t="n">
        <f aca="false">IF(F64="","",E64*F64)</f>
        <v>100</v>
      </c>
      <c r="H64" s="4"/>
    </row>
    <row r="65" customFormat="false" ht="15" hidden="false" customHeight="true" outlineLevel="0" collapsed="false">
      <c r="A65" s="3" t="s">
        <v>128</v>
      </c>
      <c r="B65" s="3"/>
      <c r="C65" s="3"/>
      <c r="D65" s="3"/>
      <c r="E65" s="3"/>
      <c r="F65" s="3"/>
      <c r="G65" s="3"/>
      <c r="H65" s="3"/>
    </row>
    <row r="66" customFormat="false" ht="27.75" hidden="false" customHeight="true" outlineLevel="0" collapsed="false">
      <c r="A66" s="4" t="n">
        <v>56</v>
      </c>
      <c r="B66" s="5" t="s">
        <v>129</v>
      </c>
      <c r="C66" s="5" t="s">
        <v>130</v>
      </c>
      <c r="D66" s="5" t="s">
        <v>131</v>
      </c>
      <c r="E66" s="6" t="n">
        <f aca="false">LEN(B66)-LEN(SUBSTITUTE(B66,",",""))+1</f>
        <v>1</v>
      </c>
      <c r="F66" s="7" t="n">
        <f aca="false">'Цены и источники'!E63</f>
        <v>70</v>
      </c>
      <c r="G66" s="7" t="n">
        <f aca="false">IF(F66="","",E66*F66)</f>
        <v>70</v>
      </c>
      <c r="H66" s="4"/>
    </row>
    <row r="67" customFormat="false" ht="27.75" hidden="false" customHeight="true" outlineLevel="0" collapsed="false">
      <c r="A67" s="4" t="n">
        <v>57</v>
      </c>
      <c r="B67" s="5" t="s">
        <v>132</v>
      </c>
      <c r="C67" s="5" t="s">
        <v>133</v>
      </c>
      <c r="D67" s="5" t="s">
        <v>131</v>
      </c>
      <c r="E67" s="6" t="n">
        <f aca="false">LEN(B67)-LEN(SUBSTITUTE(B67,",",""))+1</f>
        <v>2</v>
      </c>
      <c r="F67" s="7" t="n">
        <f aca="false">'Цены и источники'!E64</f>
        <v>120</v>
      </c>
      <c r="G67" s="7" t="n">
        <f aca="false">IF(F67="","",E67*F67)</f>
        <v>240</v>
      </c>
      <c r="H67" s="4"/>
    </row>
    <row r="68" customFormat="false" ht="27.75" hidden="false" customHeight="true" outlineLevel="0" collapsed="false">
      <c r="A68" s="4" t="n">
        <v>58</v>
      </c>
      <c r="B68" s="5" t="s">
        <v>134</v>
      </c>
      <c r="C68" s="5" t="s">
        <v>135</v>
      </c>
      <c r="D68" s="5" t="s">
        <v>131</v>
      </c>
      <c r="E68" s="6" t="n">
        <f aca="false">LEN(B68)-LEN(SUBSTITUTE(B68,",",""))+1</f>
        <v>3</v>
      </c>
      <c r="F68" s="7" t="n">
        <f aca="false">'Цены и источники'!E65</f>
        <v>160</v>
      </c>
      <c r="G68" s="7" t="n">
        <f aca="false">IF(F68="","",E68*F68)</f>
        <v>480</v>
      </c>
      <c r="H68" s="4"/>
    </row>
    <row r="69" customFormat="false" ht="27.75" hidden="false" customHeight="true" outlineLevel="0" collapsed="false">
      <c r="A69" s="4" t="n">
        <v>59</v>
      </c>
      <c r="B69" s="5" t="s">
        <v>136</v>
      </c>
      <c r="C69" s="5" t="s">
        <v>137</v>
      </c>
      <c r="D69" s="5" t="s">
        <v>137</v>
      </c>
      <c r="E69" s="6" t="n">
        <f aca="false">LEN(B69)-LEN(SUBSTITUTE(B69,",",""))+1</f>
        <v>1</v>
      </c>
      <c r="F69" s="7" t="n">
        <f aca="false">'Цены и источники'!E66</f>
        <v>2748.21</v>
      </c>
      <c r="G69" s="7" t="n">
        <f aca="false">IF(F69="","",E69*F69)</f>
        <v>2748.21</v>
      </c>
      <c r="H69" s="4"/>
    </row>
    <row r="70" customFormat="false" ht="15" hidden="false" customHeight="true" outlineLevel="0" collapsed="false">
      <c r="A70" s="8"/>
      <c r="B70" s="8" t="s">
        <v>138</v>
      </c>
      <c r="C70" s="8"/>
      <c r="D70" s="8"/>
      <c r="E70" s="9" t="n">
        <f aca="false">SUM(E2:E69)</f>
        <v>153</v>
      </c>
      <c r="F70" s="8"/>
      <c r="G70" s="10" t="n">
        <f aca="false">IF(COUNT(F2:F69)=0,"",SUM(G2:G69))</f>
        <v>12485.56</v>
      </c>
      <c r="H70" s="8"/>
    </row>
    <row r="71" customFormat="false" ht="27.75" hidden="false" customHeight="true" outlineLevel="0" collapsed="false"/>
    <row r="72" customFormat="false" ht="27.75" hidden="false" customHeight="true" outlineLevel="0" collapsed="false"/>
    <row r="73" customFormat="false" ht="27.75" hidden="false" customHeight="true" outlineLevel="0" collapsed="false"/>
    <row r="74" customFormat="false" ht="27.75" hidden="false" customHeight="true" outlineLevel="0" collapsed="false"/>
  </sheetData>
  <mergeCells count="9">
    <mergeCell ref="A2:H2"/>
    <mergeCell ref="A14:H14"/>
    <mergeCell ref="A18:H18"/>
    <mergeCell ref="A34:H34"/>
    <mergeCell ref="A36:H36"/>
    <mergeCell ref="A47:H47"/>
    <mergeCell ref="A54:H54"/>
    <mergeCell ref="A60:H60"/>
    <mergeCell ref="A65:H65"/>
  </mergeCells>
  <printOptions headings="false" gridLines="false" gridLinesSet="true" horizontalCentered="true" verticalCentered="false"/>
  <pageMargins left="0.5" right="0.5" top="0.9" bottom="0.75" header="0.3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 Спецификация для пайки&amp;R&amp;"Arial,Bold" Порядок пайки</oddHeader>
    <oddFooter>&amp;C&amp;9 Лист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8"/>
  </cols>
  <sheetData>
    <row r="1" customFormat="false" ht="21.75" hidden="false" customHeight="true" outlineLevel="0" collapsed="false">
      <c r="A1" s="2" t="s">
        <v>139</v>
      </c>
      <c r="B1" s="2" t="s">
        <v>2</v>
      </c>
      <c r="C1" s="2" t="s">
        <v>3</v>
      </c>
    </row>
    <row r="2" customFormat="false" ht="21.75" hidden="false" customHeight="true" outlineLevel="0" collapsed="false">
      <c r="A2" s="11" t="s">
        <v>140</v>
      </c>
      <c r="B2" s="11" t="s">
        <v>135</v>
      </c>
      <c r="C2" s="11" t="s">
        <v>131</v>
      </c>
    </row>
    <row r="3" customFormat="false" ht="21.75" hidden="false" customHeight="true" outlineLevel="0" collapsed="false">
      <c r="A3" s="11" t="s">
        <v>141</v>
      </c>
      <c r="B3" s="11" t="s">
        <v>135</v>
      </c>
      <c r="C3" s="11" t="s">
        <v>131</v>
      </c>
    </row>
    <row r="4" customFormat="false" ht="21.75" hidden="false" customHeight="true" outlineLevel="0" collapsed="false">
      <c r="A4" s="11" t="s">
        <v>142</v>
      </c>
      <c r="B4" s="11" t="s">
        <v>135</v>
      </c>
      <c r="C4" s="11" t="s">
        <v>131</v>
      </c>
    </row>
    <row r="5" customFormat="false" ht="21.75" hidden="false" customHeight="true" outlineLevel="0" collapsed="false">
      <c r="A5" s="11" t="s">
        <v>143</v>
      </c>
      <c r="B5" s="11" t="s">
        <v>72</v>
      </c>
      <c r="C5" s="11" t="s">
        <v>73</v>
      </c>
    </row>
    <row r="6" customFormat="false" ht="21.75" hidden="false" customHeight="true" outlineLevel="0" collapsed="false">
      <c r="A6" s="11" t="s">
        <v>144</v>
      </c>
      <c r="B6" s="11" t="s">
        <v>133</v>
      </c>
      <c r="C6" s="11" t="s">
        <v>131</v>
      </c>
    </row>
    <row r="7" customFormat="false" ht="21.75" hidden="false" customHeight="true" outlineLevel="0" collapsed="false">
      <c r="A7" s="11" t="s">
        <v>145</v>
      </c>
      <c r="B7" s="11" t="s">
        <v>72</v>
      </c>
      <c r="C7" s="11" t="s">
        <v>73</v>
      </c>
    </row>
    <row r="8" customFormat="false" ht="21.75" hidden="false" customHeight="true" outlineLevel="0" collapsed="false">
      <c r="A8" s="11" t="s">
        <v>146</v>
      </c>
      <c r="B8" s="11" t="s">
        <v>133</v>
      </c>
      <c r="C8" s="11" t="s">
        <v>131</v>
      </c>
    </row>
    <row r="9" customFormat="false" ht="21.75" hidden="false" customHeight="true" outlineLevel="0" collapsed="false">
      <c r="A9" s="11" t="s">
        <v>147</v>
      </c>
      <c r="B9" s="11" t="s">
        <v>72</v>
      </c>
      <c r="C9" s="11" t="s">
        <v>73</v>
      </c>
    </row>
    <row r="10" customFormat="false" ht="21.75" hidden="false" customHeight="true" outlineLevel="0" collapsed="false">
      <c r="A10" s="11" t="s">
        <v>148</v>
      </c>
      <c r="B10" s="11" t="s">
        <v>47</v>
      </c>
      <c r="C10" s="11" t="s">
        <v>43</v>
      </c>
    </row>
    <row r="11" customFormat="false" ht="21.75" hidden="false" customHeight="true" outlineLevel="0" collapsed="false">
      <c r="A11" s="11" t="s">
        <v>129</v>
      </c>
      <c r="B11" s="11" t="s">
        <v>130</v>
      </c>
      <c r="C11" s="11" t="s">
        <v>131</v>
      </c>
    </row>
    <row r="12" customFormat="false" ht="21.75" hidden="false" customHeight="true" outlineLevel="0" collapsed="false">
      <c r="A12" s="11" t="s">
        <v>149</v>
      </c>
      <c r="B12" s="11" t="s">
        <v>72</v>
      </c>
      <c r="C12" s="11" t="s">
        <v>73</v>
      </c>
    </row>
    <row r="13" customFormat="false" ht="21.75" hidden="false" customHeight="true" outlineLevel="0" collapsed="false">
      <c r="A13" s="11" t="s">
        <v>150</v>
      </c>
      <c r="B13" s="11" t="s">
        <v>47</v>
      </c>
      <c r="C13" s="11" t="s">
        <v>43</v>
      </c>
    </row>
    <row r="14" customFormat="false" ht="21.75" hidden="false" customHeight="true" outlineLevel="0" collapsed="false">
      <c r="A14" s="11" t="s">
        <v>151</v>
      </c>
      <c r="B14" s="11" t="s">
        <v>42</v>
      </c>
      <c r="C14" s="11" t="s">
        <v>43</v>
      </c>
    </row>
    <row r="15" customFormat="false" ht="21.75" hidden="false" customHeight="true" outlineLevel="0" collapsed="false">
      <c r="A15" s="11" t="s">
        <v>152</v>
      </c>
      <c r="B15" s="11" t="s">
        <v>47</v>
      </c>
      <c r="C15" s="11" t="s">
        <v>43</v>
      </c>
    </row>
    <row r="16" customFormat="false" ht="21.75" hidden="false" customHeight="true" outlineLevel="0" collapsed="false">
      <c r="A16" s="11" t="s">
        <v>153</v>
      </c>
      <c r="B16" s="11" t="s">
        <v>47</v>
      </c>
      <c r="C16" s="11" t="s">
        <v>43</v>
      </c>
    </row>
    <row r="17" customFormat="false" ht="21.75" hidden="false" customHeight="true" outlineLevel="0" collapsed="false">
      <c r="A17" s="11" t="s">
        <v>44</v>
      </c>
      <c r="B17" s="11" t="s">
        <v>45</v>
      </c>
      <c r="C17" s="11" t="s">
        <v>43</v>
      </c>
    </row>
    <row r="18" customFormat="false" ht="21.75" hidden="false" customHeight="true" outlineLevel="0" collapsed="false">
      <c r="A18" s="11" t="s">
        <v>154</v>
      </c>
      <c r="B18" s="11" t="s">
        <v>42</v>
      </c>
      <c r="C18" s="11" t="s">
        <v>43</v>
      </c>
    </row>
    <row r="19" customFormat="false" ht="21.75" hidden="false" customHeight="true" outlineLevel="0" collapsed="false">
      <c r="A19" s="11" t="s">
        <v>155</v>
      </c>
      <c r="B19" s="11" t="s">
        <v>47</v>
      </c>
      <c r="C19" s="11" t="s">
        <v>43</v>
      </c>
    </row>
    <row r="20" customFormat="false" ht="21.75" hidden="false" customHeight="true" outlineLevel="0" collapsed="false">
      <c r="A20" s="11" t="s">
        <v>156</v>
      </c>
      <c r="B20" s="11" t="s">
        <v>47</v>
      </c>
      <c r="C20" s="11" t="s">
        <v>43</v>
      </c>
    </row>
    <row r="21" customFormat="false" ht="21.75" hidden="false" customHeight="true" outlineLevel="0" collapsed="false">
      <c r="A21" s="11" t="s">
        <v>157</v>
      </c>
      <c r="B21" s="11" t="s">
        <v>47</v>
      </c>
      <c r="C21" s="11" t="s">
        <v>43</v>
      </c>
    </row>
    <row r="22" customFormat="false" ht="21.75" hidden="false" customHeight="true" outlineLevel="0" collapsed="false">
      <c r="A22" s="11" t="s">
        <v>158</v>
      </c>
      <c r="B22" s="11" t="s">
        <v>47</v>
      </c>
      <c r="C22" s="11" t="s">
        <v>43</v>
      </c>
    </row>
    <row r="23" customFormat="false" ht="21.75" hidden="false" customHeight="true" outlineLevel="0" collapsed="false">
      <c r="A23" s="11" t="s">
        <v>159</v>
      </c>
      <c r="B23" s="11" t="s">
        <v>47</v>
      </c>
      <c r="C23" s="11" t="s">
        <v>43</v>
      </c>
    </row>
    <row r="24" customFormat="false" ht="21.75" hidden="false" customHeight="true" outlineLevel="0" collapsed="false">
      <c r="A24" s="11" t="s">
        <v>160</v>
      </c>
      <c r="B24" s="11" t="s">
        <v>47</v>
      </c>
      <c r="C24" s="11" t="s">
        <v>43</v>
      </c>
    </row>
    <row r="25" customFormat="false" ht="21.75" hidden="false" customHeight="true" outlineLevel="0" collapsed="false">
      <c r="A25" s="11" t="s">
        <v>161</v>
      </c>
      <c r="B25" s="11" t="s">
        <v>72</v>
      </c>
      <c r="C25" s="11" t="s">
        <v>73</v>
      </c>
    </row>
    <row r="26" customFormat="false" ht="21.75" hidden="false" customHeight="true" outlineLevel="0" collapsed="false">
      <c r="A26" s="11" t="s">
        <v>162</v>
      </c>
      <c r="B26" s="11" t="s">
        <v>47</v>
      </c>
      <c r="C26" s="11" t="s">
        <v>43</v>
      </c>
    </row>
    <row r="27" customFormat="false" ht="21.75" hidden="false" customHeight="true" outlineLevel="0" collapsed="false">
      <c r="A27" s="11" t="s">
        <v>163</v>
      </c>
      <c r="B27" s="11" t="s">
        <v>15</v>
      </c>
      <c r="C27" s="11" t="s">
        <v>11</v>
      </c>
    </row>
    <row r="28" customFormat="false" ht="21.75" hidden="false" customHeight="true" outlineLevel="0" collapsed="false">
      <c r="A28" s="11" t="s">
        <v>164</v>
      </c>
      <c r="B28" s="11" t="s">
        <v>15</v>
      </c>
      <c r="C28" s="11" t="s">
        <v>11</v>
      </c>
    </row>
    <row r="29" customFormat="false" ht="21.75" hidden="false" customHeight="true" outlineLevel="0" collapsed="false">
      <c r="A29" s="11" t="s">
        <v>165</v>
      </c>
      <c r="B29" s="11" t="s">
        <v>15</v>
      </c>
      <c r="C29" s="11" t="s">
        <v>11</v>
      </c>
    </row>
    <row r="30" customFormat="false" ht="21.75" hidden="false" customHeight="true" outlineLevel="0" collapsed="false">
      <c r="A30" s="11" t="s">
        <v>166</v>
      </c>
      <c r="B30" s="11" t="s">
        <v>15</v>
      </c>
      <c r="C30" s="11" t="s">
        <v>11</v>
      </c>
    </row>
    <row r="31" customFormat="false" ht="21.75" hidden="false" customHeight="true" outlineLevel="0" collapsed="false">
      <c r="A31" s="11" t="s">
        <v>167</v>
      </c>
      <c r="B31" s="11" t="s">
        <v>17</v>
      </c>
      <c r="C31" s="11" t="s">
        <v>11</v>
      </c>
    </row>
    <row r="32" customFormat="false" ht="21.75" hidden="false" customHeight="true" outlineLevel="0" collapsed="false">
      <c r="A32" s="11" t="s">
        <v>168</v>
      </c>
      <c r="B32" s="11" t="s">
        <v>15</v>
      </c>
      <c r="C32" s="11" t="s">
        <v>11</v>
      </c>
    </row>
    <row r="33" customFormat="false" ht="21.75" hidden="false" customHeight="true" outlineLevel="0" collapsed="false">
      <c r="A33" s="11" t="s">
        <v>169</v>
      </c>
      <c r="B33" s="11" t="s">
        <v>15</v>
      </c>
      <c r="C33" s="11" t="s">
        <v>11</v>
      </c>
    </row>
    <row r="34" customFormat="false" ht="21.75" hidden="false" customHeight="true" outlineLevel="0" collapsed="false">
      <c r="A34" s="11" t="s">
        <v>170</v>
      </c>
      <c r="B34" s="11" t="s">
        <v>17</v>
      </c>
      <c r="C34" s="11" t="s">
        <v>11</v>
      </c>
    </row>
    <row r="35" customFormat="false" ht="21.75" hidden="false" customHeight="true" outlineLevel="0" collapsed="false">
      <c r="A35" s="11" t="s">
        <v>171</v>
      </c>
      <c r="B35" s="11" t="s">
        <v>17</v>
      </c>
      <c r="C35" s="11" t="s">
        <v>11</v>
      </c>
    </row>
    <row r="36" customFormat="false" ht="21.75" hidden="false" customHeight="true" outlineLevel="0" collapsed="false">
      <c r="A36" s="11" t="s">
        <v>12</v>
      </c>
      <c r="B36" s="11" t="s">
        <v>13</v>
      </c>
      <c r="C36" s="11" t="s">
        <v>11</v>
      </c>
    </row>
    <row r="37" customFormat="false" ht="21.75" hidden="false" customHeight="true" outlineLevel="0" collapsed="false">
      <c r="A37" s="11" t="s">
        <v>48</v>
      </c>
      <c r="B37" s="11" t="s">
        <v>49</v>
      </c>
      <c r="C37" s="11" t="s">
        <v>43</v>
      </c>
    </row>
    <row r="38" customFormat="false" ht="21.75" hidden="false" customHeight="true" outlineLevel="0" collapsed="false">
      <c r="A38" s="11" t="s">
        <v>172</v>
      </c>
      <c r="B38" s="11" t="s">
        <v>15</v>
      </c>
      <c r="C38" s="11" t="s">
        <v>11</v>
      </c>
    </row>
    <row r="39" customFormat="false" ht="21.75" hidden="false" customHeight="true" outlineLevel="0" collapsed="false">
      <c r="A39" s="11" t="s">
        <v>9</v>
      </c>
      <c r="B39" s="11" t="s">
        <v>10</v>
      </c>
      <c r="C39" s="11" t="s">
        <v>11</v>
      </c>
    </row>
    <row r="40" customFormat="false" ht="21.75" hidden="false" customHeight="true" outlineLevel="0" collapsed="false">
      <c r="A40" s="11" t="s">
        <v>173</v>
      </c>
      <c r="B40" s="11" t="s">
        <v>15</v>
      </c>
      <c r="C40" s="11" t="s">
        <v>11</v>
      </c>
    </row>
    <row r="41" customFormat="false" ht="21.75" hidden="false" customHeight="true" outlineLevel="0" collapsed="false">
      <c r="A41" s="11" t="s">
        <v>174</v>
      </c>
      <c r="B41" s="11" t="s">
        <v>17</v>
      </c>
      <c r="C41" s="11" t="s">
        <v>11</v>
      </c>
    </row>
    <row r="42" customFormat="false" ht="21.75" hidden="false" customHeight="true" outlineLevel="0" collapsed="false">
      <c r="A42" s="11" t="s">
        <v>175</v>
      </c>
      <c r="B42" s="11" t="s">
        <v>15</v>
      </c>
      <c r="C42" s="11" t="s">
        <v>11</v>
      </c>
    </row>
    <row r="43" customFormat="false" ht="21.75" hidden="false" customHeight="true" outlineLevel="0" collapsed="false">
      <c r="A43" s="11" t="s">
        <v>176</v>
      </c>
      <c r="B43" s="11" t="s">
        <v>15</v>
      </c>
      <c r="C43" s="11" t="s">
        <v>11</v>
      </c>
    </row>
    <row r="44" customFormat="false" ht="21.75" hidden="false" customHeight="true" outlineLevel="0" collapsed="false">
      <c r="A44" s="11" t="s">
        <v>177</v>
      </c>
      <c r="B44" s="11" t="s">
        <v>17</v>
      </c>
      <c r="C44" s="11" t="s">
        <v>11</v>
      </c>
    </row>
    <row r="45" customFormat="false" ht="21.75" hidden="false" customHeight="true" outlineLevel="0" collapsed="false">
      <c r="A45" s="11" t="s">
        <v>178</v>
      </c>
      <c r="B45" s="11" t="s">
        <v>15</v>
      </c>
      <c r="C45" s="11" t="s">
        <v>11</v>
      </c>
    </row>
    <row r="46" customFormat="false" ht="21.75" hidden="false" customHeight="true" outlineLevel="0" collapsed="false">
      <c r="A46" s="11" t="s">
        <v>179</v>
      </c>
      <c r="B46" s="11" t="s">
        <v>15</v>
      </c>
      <c r="C46" s="11" t="s">
        <v>11</v>
      </c>
    </row>
    <row r="47" customFormat="false" ht="21.75" hidden="false" customHeight="true" outlineLevel="0" collapsed="false">
      <c r="A47" s="11" t="s">
        <v>180</v>
      </c>
      <c r="B47" s="11" t="s">
        <v>15</v>
      </c>
      <c r="C47" s="11" t="s">
        <v>11</v>
      </c>
    </row>
    <row r="48" customFormat="false" ht="21.75" hidden="false" customHeight="true" outlineLevel="0" collapsed="false">
      <c r="A48" s="11" t="s">
        <v>181</v>
      </c>
      <c r="B48" s="11" t="s">
        <v>15</v>
      </c>
      <c r="C48" s="11" t="s">
        <v>11</v>
      </c>
    </row>
    <row r="49" customFormat="false" ht="21.75" hidden="false" customHeight="true" outlineLevel="0" collapsed="false">
      <c r="A49" s="11" t="s">
        <v>182</v>
      </c>
      <c r="B49" s="11" t="s">
        <v>15</v>
      </c>
      <c r="C49" s="11" t="s">
        <v>11</v>
      </c>
    </row>
    <row r="50" customFormat="false" ht="21.75" hidden="false" customHeight="true" outlineLevel="0" collapsed="false">
      <c r="A50" s="11" t="s">
        <v>183</v>
      </c>
      <c r="B50" s="11" t="s">
        <v>15</v>
      </c>
      <c r="C50" s="11" t="s">
        <v>11</v>
      </c>
    </row>
    <row r="51" customFormat="false" ht="21.75" hidden="false" customHeight="true" outlineLevel="0" collapsed="false">
      <c r="A51" s="11" t="s">
        <v>96</v>
      </c>
      <c r="B51" s="11" t="s">
        <v>97</v>
      </c>
      <c r="C51" s="11" t="s">
        <v>97</v>
      </c>
    </row>
    <row r="52" customFormat="false" ht="21.75" hidden="false" customHeight="true" outlineLevel="0" collapsed="false">
      <c r="A52" s="11" t="s">
        <v>184</v>
      </c>
      <c r="B52" s="11" t="s">
        <v>101</v>
      </c>
      <c r="C52" s="11" t="s">
        <v>101</v>
      </c>
    </row>
    <row r="53" customFormat="false" ht="21.75" hidden="false" customHeight="true" outlineLevel="0" collapsed="false">
      <c r="A53" s="11" t="s">
        <v>185</v>
      </c>
      <c r="B53" s="11" t="s">
        <v>101</v>
      </c>
      <c r="C53" s="11" t="s">
        <v>101</v>
      </c>
    </row>
    <row r="54" customFormat="false" ht="21.75" hidden="false" customHeight="true" outlineLevel="0" collapsed="false">
      <c r="A54" s="11" t="s">
        <v>186</v>
      </c>
      <c r="B54" s="11" t="s">
        <v>99</v>
      </c>
      <c r="C54" s="11" t="s">
        <v>99</v>
      </c>
    </row>
    <row r="55" customFormat="false" ht="21.75" hidden="false" customHeight="true" outlineLevel="0" collapsed="false">
      <c r="A55" s="11" t="s">
        <v>187</v>
      </c>
      <c r="B55" s="11" t="s">
        <v>99</v>
      </c>
      <c r="C55" s="11" t="s">
        <v>99</v>
      </c>
    </row>
    <row r="56" customFormat="false" ht="21.75" hidden="false" customHeight="true" outlineLevel="0" collapsed="false">
      <c r="A56" s="11" t="s">
        <v>188</v>
      </c>
      <c r="B56" s="11" t="s">
        <v>107</v>
      </c>
      <c r="C56" s="11" t="s">
        <v>107</v>
      </c>
    </row>
    <row r="57" customFormat="false" ht="21.75" hidden="false" customHeight="true" outlineLevel="0" collapsed="false">
      <c r="A57" s="11" t="s">
        <v>189</v>
      </c>
      <c r="B57" s="11" t="s">
        <v>107</v>
      </c>
      <c r="C57" s="11" t="s">
        <v>107</v>
      </c>
    </row>
    <row r="58" customFormat="false" ht="21.75" hidden="false" customHeight="true" outlineLevel="0" collapsed="false">
      <c r="A58" s="11" t="s">
        <v>190</v>
      </c>
      <c r="B58" s="11" t="s">
        <v>99</v>
      </c>
      <c r="C58" s="11" t="s">
        <v>99</v>
      </c>
    </row>
    <row r="59" customFormat="false" ht="21.75" hidden="false" customHeight="true" outlineLevel="0" collapsed="false">
      <c r="A59" s="11" t="s">
        <v>191</v>
      </c>
      <c r="B59" s="11" t="s">
        <v>192</v>
      </c>
      <c r="C59" s="11" t="s">
        <v>192</v>
      </c>
    </row>
    <row r="60" customFormat="false" ht="21.75" hidden="false" customHeight="true" outlineLevel="0" collapsed="false">
      <c r="A60" s="11" t="s">
        <v>193</v>
      </c>
      <c r="B60" s="11"/>
      <c r="C60" s="11" t="s">
        <v>37</v>
      </c>
    </row>
    <row r="61" customFormat="false" ht="21.75" hidden="false" customHeight="true" outlineLevel="0" collapsed="false">
      <c r="A61" s="11" t="s">
        <v>194</v>
      </c>
      <c r="B61" s="11"/>
      <c r="C61" s="11" t="s">
        <v>37</v>
      </c>
    </row>
    <row r="62" customFormat="false" ht="21.75" hidden="false" customHeight="true" outlineLevel="0" collapsed="false">
      <c r="A62" s="11" t="s">
        <v>102</v>
      </c>
      <c r="B62" s="11" t="s">
        <v>103</v>
      </c>
      <c r="C62" s="11" t="s">
        <v>103</v>
      </c>
    </row>
    <row r="63" customFormat="false" ht="21.75" hidden="false" customHeight="true" outlineLevel="0" collapsed="false">
      <c r="A63" s="11" t="s">
        <v>195</v>
      </c>
      <c r="B63" s="11" t="s">
        <v>35</v>
      </c>
      <c r="C63" s="11" t="s">
        <v>35</v>
      </c>
    </row>
    <row r="64" customFormat="false" ht="21.75" hidden="false" customHeight="true" outlineLevel="0" collapsed="false">
      <c r="A64" s="11" t="s">
        <v>196</v>
      </c>
      <c r="B64" s="11" t="s">
        <v>35</v>
      </c>
      <c r="C64" s="11" t="s">
        <v>35</v>
      </c>
    </row>
    <row r="65" customFormat="false" ht="21.75" hidden="false" customHeight="true" outlineLevel="0" collapsed="false">
      <c r="A65" s="11" t="s">
        <v>197</v>
      </c>
      <c r="B65" s="11" t="s">
        <v>198</v>
      </c>
      <c r="C65" s="11" t="s">
        <v>198</v>
      </c>
    </row>
    <row r="66" customFormat="false" ht="21.75" hidden="false" customHeight="true" outlineLevel="0" collapsed="false">
      <c r="A66" s="11" t="s">
        <v>199</v>
      </c>
      <c r="B66" s="11"/>
      <c r="C66" s="11" t="s">
        <v>37</v>
      </c>
    </row>
    <row r="67" customFormat="false" ht="21.75" hidden="false" customHeight="true" outlineLevel="0" collapsed="false">
      <c r="A67" s="11" t="s">
        <v>200</v>
      </c>
      <c r="B67" s="11"/>
      <c r="C67" s="11" t="s">
        <v>37</v>
      </c>
    </row>
    <row r="68" customFormat="false" ht="21.75" hidden="false" customHeight="true" outlineLevel="0" collapsed="false">
      <c r="A68" s="11" t="s">
        <v>79</v>
      </c>
      <c r="B68" s="11" t="s">
        <v>80</v>
      </c>
      <c r="C68" s="11" t="s">
        <v>80</v>
      </c>
    </row>
    <row r="69" customFormat="false" ht="21.75" hidden="false" customHeight="true" outlineLevel="0" collapsed="false">
      <c r="A69" s="11" t="s">
        <v>113</v>
      </c>
      <c r="B69" s="11" t="s">
        <v>114</v>
      </c>
      <c r="C69" s="11" t="s">
        <v>114</v>
      </c>
    </row>
    <row r="70" customFormat="false" ht="21.75" hidden="false" customHeight="true" outlineLevel="0" collapsed="false">
      <c r="A70" s="11" t="s">
        <v>93</v>
      </c>
      <c r="B70" s="11"/>
      <c r="C70" s="11" t="s">
        <v>94</v>
      </c>
    </row>
    <row r="71" customFormat="false" ht="21.75" hidden="false" customHeight="true" outlineLevel="0" collapsed="false">
      <c r="A71" s="11" t="s">
        <v>201</v>
      </c>
      <c r="B71" s="11"/>
      <c r="C71" s="11" t="s">
        <v>92</v>
      </c>
    </row>
    <row r="72" customFormat="false" ht="21.75" hidden="false" customHeight="true" outlineLevel="0" collapsed="false">
      <c r="A72" s="11" t="s">
        <v>202</v>
      </c>
      <c r="B72" s="11"/>
      <c r="C72" s="11" t="s">
        <v>92</v>
      </c>
    </row>
    <row r="73" customFormat="false" ht="21.75" hidden="false" customHeight="true" outlineLevel="0" collapsed="false">
      <c r="A73" s="11" t="s">
        <v>203</v>
      </c>
      <c r="B73" s="11"/>
      <c r="C73" s="11" t="s">
        <v>92</v>
      </c>
    </row>
    <row r="74" customFormat="false" ht="21.75" hidden="false" customHeight="true" outlineLevel="0" collapsed="false">
      <c r="A74" s="11" t="s">
        <v>204</v>
      </c>
      <c r="B74" s="11"/>
      <c r="C74" s="11" t="s">
        <v>92</v>
      </c>
    </row>
    <row r="75" customFormat="false" ht="21.75" hidden="false" customHeight="true" outlineLevel="0" collapsed="false">
      <c r="A75" s="11" t="s">
        <v>205</v>
      </c>
      <c r="B75" s="11"/>
      <c r="C75" s="11" t="s">
        <v>92</v>
      </c>
    </row>
    <row r="76" customFormat="false" ht="21.75" hidden="false" customHeight="true" outlineLevel="0" collapsed="false">
      <c r="A76" s="11" t="s">
        <v>89</v>
      </c>
      <c r="B76" s="11" t="s">
        <v>90</v>
      </c>
      <c r="C76" s="11" t="s">
        <v>90</v>
      </c>
    </row>
    <row r="77" customFormat="false" ht="21.75" hidden="false" customHeight="true" outlineLevel="0" collapsed="false">
      <c r="A77" s="11" t="s">
        <v>81</v>
      </c>
      <c r="B77" s="11" t="s">
        <v>82</v>
      </c>
      <c r="C77" s="11" t="s">
        <v>82</v>
      </c>
    </row>
    <row r="78" customFormat="false" ht="21.75" hidden="false" customHeight="true" outlineLevel="0" collapsed="false">
      <c r="A78" s="11" t="s">
        <v>87</v>
      </c>
      <c r="B78" s="11" t="s">
        <v>88</v>
      </c>
      <c r="C78" s="11" t="s">
        <v>88</v>
      </c>
    </row>
    <row r="79" customFormat="false" ht="21.75" hidden="false" customHeight="true" outlineLevel="0" collapsed="false">
      <c r="A79" s="11" t="s">
        <v>77</v>
      </c>
      <c r="B79" s="11" t="s">
        <v>78</v>
      </c>
      <c r="C79" s="11" t="s">
        <v>78</v>
      </c>
    </row>
    <row r="80" customFormat="false" ht="21.75" hidden="false" customHeight="true" outlineLevel="0" collapsed="false">
      <c r="A80" s="11" t="s">
        <v>75</v>
      </c>
      <c r="B80" s="11" t="s">
        <v>76</v>
      </c>
      <c r="C80" s="11" t="s">
        <v>76</v>
      </c>
    </row>
    <row r="81" customFormat="false" ht="21.75" hidden="false" customHeight="true" outlineLevel="0" collapsed="false">
      <c r="A81" s="11" t="s">
        <v>83</v>
      </c>
      <c r="B81" s="11" t="s">
        <v>84</v>
      </c>
      <c r="C81" s="11" t="s">
        <v>84</v>
      </c>
    </row>
    <row r="82" customFormat="false" ht="21.75" hidden="false" customHeight="true" outlineLevel="0" collapsed="false">
      <c r="A82" s="11" t="s">
        <v>206</v>
      </c>
      <c r="B82" s="11"/>
      <c r="C82" s="11" t="s">
        <v>127</v>
      </c>
    </row>
    <row r="83" customFormat="false" ht="21.75" hidden="false" customHeight="true" outlineLevel="0" collapsed="false">
      <c r="A83" s="11" t="s">
        <v>207</v>
      </c>
      <c r="B83" s="11"/>
      <c r="C83" s="11" t="s">
        <v>127</v>
      </c>
    </row>
    <row r="84" customFormat="false" ht="21.75" hidden="false" customHeight="true" outlineLevel="0" collapsed="false">
      <c r="A84" s="11" t="s">
        <v>111</v>
      </c>
      <c r="B84" s="11" t="s">
        <v>112</v>
      </c>
      <c r="C84" s="11" t="s">
        <v>112</v>
      </c>
    </row>
    <row r="85" customFormat="false" ht="21.75" hidden="false" customHeight="true" outlineLevel="0" collapsed="false">
      <c r="A85" s="11" t="s">
        <v>85</v>
      </c>
      <c r="B85" s="11" t="s">
        <v>86</v>
      </c>
      <c r="C85" s="11" t="s">
        <v>86</v>
      </c>
    </row>
    <row r="86" customFormat="false" ht="21.75" hidden="false" customHeight="true" outlineLevel="0" collapsed="false">
      <c r="A86" s="11" t="s">
        <v>117</v>
      </c>
      <c r="B86" s="11" t="s">
        <v>118</v>
      </c>
      <c r="C86" s="11" t="s">
        <v>118</v>
      </c>
    </row>
    <row r="87" customFormat="false" ht="21.75" hidden="false" customHeight="true" outlineLevel="0" collapsed="false">
      <c r="A87" s="11" t="s">
        <v>115</v>
      </c>
      <c r="B87" s="11" t="s">
        <v>116</v>
      </c>
      <c r="C87" s="11" t="s">
        <v>116</v>
      </c>
    </row>
    <row r="88" customFormat="false" ht="21.75" hidden="false" customHeight="true" outlineLevel="0" collapsed="false">
      <c r="A88" s="11" t="s">
        <v>208</v>
      </c>
      <c r="B88" s="11" t="s">
        <v>66</v>
      </c>
      <c r="C88" s="11" t="s">
        <v>52</v>
      </c>
    </row>
    <row r="89" customFormat="false" ht="21.75" hidden="false" customHeight="true" outlineLevel="0" collapsed="false">
      <c r="A89" s="11" t="s">
        <v>209</v>
      </c>
      <c r="B89" s="11" t="s">
        <v>66</v>
      </c>
      <c r="C89" s="11" t="s">
        <v>52</v>
      </c>
    </row>
    <row r="90" customFormat="false" ht="21.75" hidden="false" customHeight="true" outlineLevel="0" collapsed="false">
      <c r="A90" s="11" t="s">
        <v>210</v>
      </c>
      <c r="B90" s="11" t="s">
        <v>54</v>
      </c>
      <c r="C90" s="11" t="s">
        <v>52</v>
      </c>
    </row>
    <row r="91" customFormat="false" ht="21.75" hidden="false" customHeight="true" outlineLevel="0" collapsed="false">
      <c r="A91" s="11" t="s">
        <v>50</v>
      </c>
      <c r="B91" s="11" t="s">
        <v>51</v>
      </c>
      <c r="C91" s="11" t="s">
        <v>52</v>
      </c>
    </row>
    <row r="92" customFormat="false" ht="21.75" hidden="false" customHeight="true" outlineLevel="0" collapsed="false">
      <c r="A92" s="11" t="s">
        <v>109</v>
      </c>
      <c r="B92" s="11" t="s">
        <v>110</v>
      </c>
      <c r="C92" s="11" t="s">
        <v>110</v>
      </c>
    </row>
    <row r="93" customFormat="false" ht="21.75" hidden="false" customHeight="true" outlineLevel="0" collapsed="false">
      <c r="A93" s="11" t="s">
        <v>211</v>
      </c>
      <c r="B93" s="11" t="s">
        <v>24</v>
      </c>
      <c r="C93" s="11" t="s">
        <v>52</v>
      </c>
    </row>
    <row r="94" customFormat="false" ht="21.75" hidden="false" customHeight="true" outlineLevel="0" collapsed="false">
      <c r="A94" s="11" t="s">
        <v>212</v>
      </c>
      <c r="B94" s="11" t="s">
        <v>68</v>
      </c>
      <c r="C94" s="11" t="s">
        <v>52</v>
      </c>
    </row>
    <row r="95" customFormat="false" ht="21.75" hidden="false" customHeight="true" outlineLevel="0" collapsed="false">
      <c r="A95" s="11" t="s">
        <v>213</v>
      </c>
      <c r="B95" s="11" t="s">
        <v>28</v>
      </c>
      <c r="C95" s="11" t="s">
        <v>52</v>
      </c>
    </row>
    <row r="96" customFormat="false" ht="21.75" hidden="false" customHeight="true" outlineLevel="0" collapsed="false">
      <c r="A96" s="11" t="s">
        <v>214</v>
      </c>
      <c r="B96" s="11" t="s">
        <v>24</v>
      </c>
      <c r="C96" s="11" t="s">
        <v>52</v>
      </c>
    </row>
    <row r="97" customFormat="false" ht="21.75" hidden="false" customHeight="true" outlineLevel="0" collapsed="false">
      <c r="A97" s="11" t="s">
        <v>215</v>
      </c>
      <c r="B97" s="11" t="s">
        <v>24</v>
      </c>
      <c r="C97" s="11" t="s">
        <v>52</v>
      </c>
    </row>
    <row r="98" customFormat="false" ht="21.75" hidden="false" customHeight="true" outlineLevel="0" collapsed="false">
      <c r="A98" s="11" t="s">
        <v>216</v>
      </c>
      <c r="B98" s="11" t="s">
        <v>28</v>
      </c>
      <c r="C98" s="11" t="s">
        <v>52</v>
      </c>
    </row>
    <row r="99" customFormat="false" ht="21.75" hidden="false" customHeight="true" outlineLevel="0" collapsed="false">
      <c r="A99" s="11" t="s">
        <v>217</v>
      </c>
      <c r="B99" s="11" t="s">
        <v>68</v>
      </c>
      <c r="C99" s="11" t="s">
        <v>52</v>
      </c>
    </row>
    <row r="100" customFormat="false" ht="21.75" hidden="false" customHeight="true" outlineLevel="0" collapsed="false">
      <c r="A100" s="11" t="s">
        <v>218</v>
      </c>
      <c r="B100" s="11" t="s">
        <v>62</v>
      </c>
      <c r="C100" s="11" t="s">
        <v>52</v>
      </c>
    </row>
    <row r="101" customFormat="false" ht="21.75" hidden="false" customHeight="true" outlineLevel="0" collapsed="false">
      <c r="A101" s="11" t="s">
        <v>219</v>
      </c>
      <c r="B101" s="11" t="s">
        <v>32</v>
      </c>
      <c r="C101" s="11" t="s">
        <v>52</v>
      </c>
    </row>
    <row r="102" customFormat="false" ht="21.75" hidden="false" customHeight="true" outlineLevel="0" collapsed="false">
      <c r="A102" s="11" t="s">
        <v>220</v>
      </c>
      <c r="B102" s="11" t="s">
        <v>24</v>
      </c>
      <c r="C102" s="11" t="s">
        <v>52</v>
      </c>
    </row>
    <row r="103" customFormat="false" ht="21.75" hidden="false" customHeight="true" outlineLevel="0" collapsed="false">
      <c r="A103" s="11" t="s">
        <v>221</v>
      </c>
      <c r="B103" s="11" t="s">
        <v>24</v>
      </c>
      <c r="C103" s="11" t="s">
        <v>52</v>
      </c>
    </row>
    <row r="104" customFormat="false" ht="21.75" hidden="false" customHeight="true" outlineLevel="0" collapsed="false">
      <c r="A104" s="11" t="s">
        <v>222</v>
      </c>
      <c r="B104" s="11" t="s">
        <v>24</v>
      </c>
      <c r="C104" s="11" t="s">
        <v>52</v>
      </c>
    </row>
    <row r="105" customFormat="false" ht="21.75" hidden="false" customHeight="true" outlineLevel="0" collapsed="false">
      <c r="A105" s="11" t="s">
        <v>223</v>
      </c>
      <c r="B105" s="11" t="s">
        <v>24</v>
      </c>
      <c r="C105" s="11" t="s">
        <v>52</v>
      </c>
    </row>
    <row r="106" customFormat="false" ht="21.75" hidden="false" customHeight="true" outlineLevel="0" collapsed="false">
      <c r="A106" s="11" t="s">
        <v>224</v>
      </c>
      <c r="B106" s="11" t="s">
        <v>24</v>
      </c>
      <c r="C106" s="11" t="s">
        <v>52</v>
      </c>
    </row>
    <row r="107" customFormat="false" ht="21.75" hidden="false" customHeight="true" outlineLevel="0" collapsed="false">
      <c r="A107" s="11" t="s">
        <v>225</v>
      </c>
      <c r="B107" s="11" t="s">
        <v>24</v>
      </c>
      <c r="C107" s="11" t="s">
        <v>52</v>
      </c>
    </row>
    <row r="108" customFormat="false" ht="21.75" hidden="false" customHeight="true" outlineLevel="0" collapsed="false">
      <c r="A108" s="11" t="s">
        <v>226</v>
      </c>
      <c r="B108" s="11" t="s">
        <v>24</v>
      </c>
      <c r="C108" s="11" t="s">
        <v>52</v>
      </c>
    </row>
    <row r="109" customFormat="false" ht="21.75" hidden="false" customHeight="true" outlineLevel="0" collapsed="false">
      <c r="A109" s="11" t="s">
        <v>227</v>
      </c>
      <c r="B109" s="11" t="s">
        <v>24</v>
      </c>
      <c r="C109" s="11" t="s">
        <v>52</v>
      </c>
    </row>
    <row r="110" customFormat="false" ht="21.75" hidden="false" customHeight="true" outlineLevel="0" collapsed="false">
      <c r="A110" s="11" t="s">
        <v>228</v>
      </c>
      <c r="B110" s="11" t="s">
        <v>66</v>
      </c>
      <c r="C110" s="11" t="s">
        <v>52</v>
      </c>
    </row>
    <row r="111" customFormat="false" ht="21.75" hidden="false" customHeight="true" outlineLevel="0" collapsed="false">
      <c r="A111" s="11" t="s">
        <v>229</v>
      </c>
      <c r="B111" s="11" t="s">
        <v>57</v>
      </c>
      <c r="C111" s="11" t="s">
        <v>52</v>
      </c>
    </row>
    <row r="112" customFormat="false" ht="21.75" hidden="false" customHeight="true" outlineLevel="0" collapsed="false">
      <c r="A112" s="11" t="s">
        <v>230</v>
      </c>
      <c r="B112" s="11" t="s">
        <v>57</v>
      </c>
      <c r="C112" s="11" t="s">
        <v>52</v>
      </c>
    </row>
    <row r="113" customFormat="false" ht="21.75" hidden="false" customHeight="true" outlineLevel="0" collapsed="false">
      <c r="A113" s="11" t="s">
        <v>231</v>
      </c>
      <c r="B113" s="11" t="s">
        <v>28</v>
      </c>
      <c r="C113" s="11" t="s">
        <v>52</v>
      </c>
    </row>
    <row r="114" customFormat="false" ht="21.75" hidden="false" customHeight="true" outlineLevel="0" collapsed="false">
      <c r="A114" s="11" t="s">
        <v>232</v>
      </c>
      <c r="B114" s="11" t="s">
        <v>62</v>
      </c>
      <c r="C114" s="11" t="s">
        <v>52</v>
      </c>
    </row>
    <row r="115" customFormat="false" ht="21.75" hidden="false" customHeight="true" outlineLevel="0" collapsed="false">
      <c r="A115" s="11" t="s">
        <v>233</v>
      </c>
      <c r="B115" s="11" t="s">
        <v>28</v>
      </c>
      <c r="C115" s="11" t="s">
        <v>52</v>
      </c>
    </row>
    <row r="116" customFormat="false" ht="21.75" hidden="false" customHeight="true" outlineLevel="0" collapsed="false">
      <c r="A116" s="11" t="s">
        <v>234</v>
      </c>
      <c r="B116" s="11" t="s">
        <v>62</v>
      </c>
      <c r="C116" s="11" t="s">
        <v>52</v>
      </c>
    </row>
    <row r="117" customFormat="false" ht="21.75" hidden="false" customHeight="true" outlineLevel="0" collapsed="false">
      <c r="A117" s="11" t="s">
        <v>235</v>
      </c>
      <c r="B117" s="11" t="s">
        <v>24</v>
      </c>
      <c r="C117" s="11" t="s">
        <v>52</v>
      </c>
    </row>
    <row r="118" customFormat="false" ht="21.75" hidden="false" customHeight="true" outlineLevel="0" collapsed="false">
      <c r="A118" s="11" t="s">
        <v>236</v>
      </c>
      <c r="B118" s="11" t="s">
        <v>64</v>
      </c>
      <c r="C118" s="11" t="s">
        <v>52</v>
      </c>
    </row>
    <row r="119" customFormat="false" ht="21.75" hidden="false" customHeight="true" outlineLevel="0" collapsed="false">
      <c r="A119" s="11" t="s">
        <v>237</v>
      </c>
      <c r="B119" s="11" t="s">
        <v>24</v>
      </c>
      <c r="C119" s="11" t="s">
        <v>52</v>
      </c>
    </row>
    <row r="120" customFormat="false" ht="21.75" hidden="false" customHeight="true" outlineLevel="0" collapsed="false">
      <c r="A120" s="11" t="s">
        <v>238</v>
      </c>
      <c r="B120" s="11" t="s">
        <v>64</v>
      </c>
      <c r="C120" s="11" t="s">
        <v>52</v>
      </c>
    </row>
    <row r="121" customFormat="false" ht="21.75" hidden="false" customHeight="true" outlineLevel="0" collapsed="false">
      <c r="A121" s="11" t="s">
        <v>239</v>
      </c>
      <c r="B121" s="11" t="s">
        <v>24</v>
      </c>
      <c r="C121" s="11" t="s">
        <v>52</v>
      </c>
    </row>
    <row r="122" customFormat="false" ht="21.75" hidden="false" customHeight="true" outlineLevel="0" collapsed="false">
      <c r="A122" s="11" t="s">
        <v>240</v>
      </c>
      <c r="B122" s="11" t="s">
        <v>24</v>
      </c>
      <c r="C122" s="11" t="s">
        <v>52</v>
      </c>
    </row>
    <row r="123" customFormat="false" ht="21.75" hidden="false" customHeight="true" outlineLevel="0" collapsed="false">
      <c r="A123" s="11" t="s">
        <v>59</v>
      </c>
      <c r="B123" s="11" t="s">
        <v>60</v>
      </c>
      <c r="C123" s="11" t="s">
        <v>52</v>
      </c>
    </row>
    <row r="124" customFormat="false" ht="21.75" hidden="false" customHeight="true" outlineLevel="0" collapsed="false">
      <c r="A124" s="11" t="s">
        <v>241</v>
      </c>
      <c r="B124" s="11" t="s">
        <v>32</v>
      </c>
      <c r="C124" s="11" t="s">
        <v>52</v>
      </c>
    </row>
    <row r="125" customFormat="false" ht="21.75" hidden="false" customHeight="true" outlineLevel="0" collapsed="false">
      <c r="A125" s="11" t="s">
        <v>242</v>
      </c>
      <c r="B125" s="11" t="s">
        <v>28</v>
      </c>
      <c r="C125" s="11" t="s">
        <v>52</v>
      </c>
    </row>
    <row r="126" customFormat="false" ht="21.75" hidden="false" customHeight="true" outlineLevel="0" collapsed="false">
      <c r="A126" s="11" t="s">
        <v>243</v>
      </c>
      <c r="B126" s="11" t="s">
        <v>28</v>
      </c>
      <c r="C126" s="11" t="s">
        <v>52</v>
      </c>
    </row>
    <row r="127" customFormat="false" ht="21.75" hidden="false" customHeight="true" outlineLevel="0" collapsed="false">
      <c r="A127" s="11" t="s">
        <v>244</v>
      </c>
      <c r="B127" s="11" t="s">
        <v>28</v>
      </c>
      <c r="C127" s="11" t="s">
        <v>52</v>
      </c>
    </row>
    <row r="128" customFormat="false" ht="21.75" hidden="false" customHeight="true" outlineLevel="0" collapsed="false">
      <c r="A128" s="11" t="s">
        <v>245</v>
      </c>
      <c r="B128" s="11" t="s">
        <v>28</v>
      </c>
      <c r="C128" s="11" t="s">
        <v>52</v>
      </c>
    </row>
    <row r="129" customFormat="false" ht="21.75" hidden="false" customHeight="true" outlineLevel="0" collapsed="false">
      <c r="A129" s="11" t="s">
        <v>246</v>
      </c>
      <c r="B129" s="11" t="s">
        <v>54</v>
      </c>
      <c r="C129" s="11" t="s">
        <v>52</v>
      </c>
    </row>
    <row r="130" customFormat="false" ht="21.75" hidden="false" customHeight="true" outlineLevel="0" collapsed="false">
      <c r="A130" s="11" t="s">
        <v>247</v>
      </c>
      <c r="B130" s="11" t="s">
        <v>54</v>
      </c>
      <c r="C130" s="11" t="s">
        <v>52</v>
      </c>
    </row>
    <row r="131" customFormat="false" ht="21.75" hidden="false" customHeight="true" outlineLevel="0" collapsed="false">
      <c r="A131" s="11" t="s">
        <v>23</v>
      </c>
      <c r="B131" s="11" t="s">
        <v>24</v>
      </c>
      <c r="C131" s="11" t="s">
        <v>20</v>
      </c>
    </row>
    <row r="132" customFormat="false" ht="21.75" hidden="false" customHeight="true" outlineLevel="0" collapsed="false">
      <c r="A132" s="11" t="s">
        <v>29</v>
      </c>
      <c r="B132" s="11" t="s">
        <v>30</v>
      </c>
      <c r="C132" s="11" t="s">
        <v>20</v>
      </c>
    </row>
    <row r="133" customFormat="false" ht="21.75" hidden="false" customHeight="true" outlineLevel="0" collapsed="false">
      <c r="A133" s="11" t="s">
        <v>248</v>
      </c>
      <c r="B133" s="11" t="s">
        <v>28</v>
      </c>
      <c r="C133" s="11" t="s">
        <v>20</v>
      </c>
    </row>
    <row r="134" customFormat="false" ht="21.75" hidden="false" customHeight="true" outlineLevel="0" collapsed="false">
      <c r="A134" s="11" t="s">
        <v>249</v>
      </c>
      <c r="B134" s="11" t="s">
        <v>28</v>
      </c>
      <c r="C134" s="11" t="s">
        <v>20</v>
      </c>
    </row>
    <row r="135" customFormat="false" ht="21.75" hidden="false" customHeight="true" outlineLevel="0" collapsed="false">
      <c r="A135" s="11" t="s">
        <v>21</v>
      </c>
      <c r="B135" s="11" t="s">
        <v>22</v>
      </c>
      <c r="C135" s="11" t="s">
        <v>20</v>
      </c>
    </row>
    <row r="136" customFormat="false" ht="21.75" hidden="false" customHeight="true" outlineLevel="0" collapsed="false">
      <c r="A136" s="11" t="s">
        <v>250</v>
      </c>
      <c r="B136" s="11" t="s">
        <v>28</v>
      </c>
      <c r="C136" s="11" t="s">
        <v>20</v>
      </c>
    </row>
    <row r="137" customFormat="false" ht="21.75" hidden="false" customHeight="true" outlineLevel="0" collapsed="false">
      <c r="A137" s="11" t="s">
        <v>251</v>
      </c>
      <c r="B137" s="11" t="s">
        <v>28</v>
      </c>
      <c r="C137" s="11" t="s">
        <v>20</v>
      </c>
    </row>
    <row r="138" customFormat="false" ht="21.75" hidden="false" customHeight="true" outlineLevel="0" collapsed="false">
      <c r="A138" s="11" t="s">
        <v>252</v>
      </c>
      <c r="B138" s="11" t="s">
        <v>28</v>
      </c>
      <c r="C138" s="11" t="s">
        <v>20</v>
      </c>
    </row>
    <row r="139" customFormat="false" ht="21.75" hidden="false" customHeight="true" outlineLevel="0" collapsed="false">
      <c r="A139" s="11" t="s">
        <v>253</v>
      </c>
      <c r="B139" s="11" t="s">
        <v>28</v>
      </c>
      <c r="C139" s="11" t="s">
        <v>20</v>
      </c>
    </row>
    <row r="140" customFormat="false" ht="21.75" hidden="false" customHeight="true" outlineLevel="0" collapsed="false">
      <c r="A140" s="11" t="s">
        <v>18</v>
      </c>
      <c r="B140" s="11" t="s">
        <v>19</v>
      </c>
      <c r="C140" s="11" t="s">
        <v>20</v>
      </c>
    </row>
    <row r="141" customFormat="false" ht="21.75" hidden="false" customHeight="true" outlineLevel="0" collapsed="false">
      <c r="A141" s="11" t="s">
        <v>254</v>
      </c>
      <c r="B141" s="11" t="s">
        <v>28</v>
      </c>
      <c r="C141" s="11" t="s">
        <v>20</v>
      </c>
    </row>
    <row r="142" customFormat="false" ht="21.75" hidden="false" customHeight="true" outlineLevel="0" collapsed="false">
      <c r="A142" s="11" t="s">
        <v>31</v>
      </c>
      <c r="B142" s="11" t="s">
        <v>32</v>
      </c>
      <c r="C142" s="11" t="s">
        <v>20</v>
      </c>
    </row>
    <row r="143" customFormat="false" ht="21.75" hidden="false" customHeight="true" outlineLevel="0" collapsed="false">
      <c r="A143" s="11" t="s">
        <v>255</v>
      </c>
      <c r="B143" s="11" t="s">
        <v>26</v>
      </c>
      <c r="C143" s="11" t="s">
        <v>20</v>
      </c>
    </row>
    <row r="144" customFormat="false" ht="21.75" hidden="false" customHeight="true" outlineLevel="0" collapsed="false">
      <c r="A144" s="11" t="s">
        <v>256</v>
      </c>
      <c r="B144" s="11" t="s">
        <v>26</v>
      </c>
      <c r="C144" s="11" t="s">
        <v>20</v>
      </c>
    </row>
    <row r="145" customFormat="false" ht="21.75" hidden="false" customHeight="true" outlineLevel="0" collapsed="false">
      <c r="A145" s="11" t="s">
        <v>257</v>
      </c>
      <c r="B145" s="11" t="s">
        <v>26</v>
      </c>
      <c r="C145" s="11" t="s">
        <v>20</v>
      </c>
    </row>
    <row r="146" customFormat="false" ht="21.75" hidden="false" customHeight="true" outlineLevel="0" collapsed="false">
      <c r="A146" s="11" t="s">
        <v>258</v>
      </c>
      <c r="B146" s="11" t="s">
        <v>26</v>
      </c>
      <c r="C146" s="11" t="s">
        <v>20</v>
      </c>
    </row>
    <row r="147" customFormat="false" ht="21.75" hidden="false" customHeight="true" outlineLevel="0" collapsed="false">
      <c r="A147" s="11" t="s">
        <v>124</v>
      </c>
      <c r="B147" s="11" t="s">
        <v>125</v>
      </c>
      <c r="C147" s="11" t="s">
        <v>125</v>
      </c>
    </row>
    <row r="148" customFormat="false" ht="21.75" hidden="false" customHeight="true" outlineLevel="0" collapsed="false">
      <c r="A148" s="11" t="s">
        <v>136</v>
      </c>
      <c r="B148" s="11" t="s">
        <v>137</v>
      </c>
      <c r="C148" s="11" t="s">
        <v>137</v>
      </c>
    </row>
    <row r="149" customFormat="false" ht="21.75" hidden="false" customHeight="true" outlineLevel="0" collapsed="false">
      <c r="A149" s="11" t="s">
        <v>38</v>
      </c>
      <c r="B149" s="11" t="s">
        <v>39</v>
      </c>
      <c r="C149" s="11" t="s">
        <v>39</v>
      </c>
    </row>
    <row r="150" customFormat="false" ht="21.75" hidden="false" customHeight="true" outlineLevel="0" collapsed="false">
      <c r="A150" s="11" t="s">
        <v>259</v>
      </c>
      <c r="B150" s="11"/>
      <c r="C150" s="11" t="s">
        <v>121</v>
      </c>
    </row>
    <row r="151" customFormat="false" ht="21.75" hidden="false" customHeight="true" outlineLevel="0" collapsed="false">
      <c r="A151" s="11" t="s">
        <v>260</v>
      </c>
      <c r="B151" s="11"/>
      <c r="C151" s="11" t="s">
        <v>121</v>
      </c>
    </row>
    <row r="152" customFormat="false" ht="21.75" hidden="false" customHeight="true" outlineLevel="0" collapsed="false">
      <c r="A152" s="11" t="s">
        <v>261</v>
      </c>
      <c r="B152" s="11"/>
      <c r="C152" s="11" t="s">
        <v>121</v>
      </c>
    </row>
    <row r="153" customFormat="false" ht="21.75" hidden="false" customHeight="true" outlineLevel="0" collapsed="false">
      <c r="A153" s="11" t="s">
        <v>262</v>
      </c>
      <c r="B153" s="11"/>
      <c r="C153" s="11" t="s">
        <v>121</v>
      </c>
    </row>
    <row r="154" customFormat="false" ht="21.75" hidden="false" customHeight="true" outlineLevel="0" collapsed="false">
      <c r="A154" s="11" t="s">
        <v>122</v>
      </c>
      <c r="B154" s="11"/>
      <c r="C154" s="11" t="s">
        <v>123</v>
      </c>
    </row>
  </sheetData>
  <printOptions headings="false" gridLines="false" gridLinesSet="true" horizontalCentered="true" verticalCentered="false"/>
  <pageMargins left="0.5" right="0.5" top="0.9" bottom="0.75" header="0.3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 Спецификация для пайки&amp;R&amp;"Arial,Bold" Исходные данные</oddHeader>
    <oddFooter>&amp;C&amp;9 Лист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64"/>
    <col collapsed="false" customWidth="true" hidden="false" outlineLevel="0" max="8" min="8" style="1" width="65"/>
  </cols>
  <sheetData>
    <row r="1" customFormat="false" ht="25.5" hidden="false" customHeight="true" outlineLevel="0" collapsed="false">
      <c r="A1" s="12" t="s">
        <v>263</v>
      </c>
      <c r="B1" s="12"/>
      <c r="C1" s="12"/>
      <c r="D1" s="12"/>
      <c r="E1" s="12"/>
      <c r="F1" s="12"/>
      <c r="G1" s="12"/>
      <c r="H1" s="12"/>
    </row>
    <row r="2" customFormat="false" ht="25.5" hidden="false" customHeight="true" outlineLevel="0" collapsed="false">
      <c r="A2" s="13" t="s">
        <v>264</v>
      </c>
      <c r="B2" s="13"/>
      <c r="C2" s="13"/>
      <c r="D2" s="13"/>
      <c r="E2" s="13"/>
      <c r="F2" s="13"/>
      <c r="G2" s="13"/>
      <c r="H2" s="13"/>
    </row>
    <row r="3" customFormat="false" ht="25.5" hidden="false" customHeight="true" outlineLevel="0" collapsed="false">
      <c r="A3" s="14" t="s">
        <v>265</v>
      </c>
      <c r="B3" s="15" t="n">
        <v>84.1975</v>
      </c>
      <c r="C3" s="13" t="s">
        <v>266</v>
      </c>
      <c r="D3" s="13"/>
      <c r="E3" s="13"/>
      <c r="F3" s="13"/>
      <c r="G3" s="13"/>
      <c r="H3" s="13"/>
    </row>
    <row r="4" customFormat="false" ht="25.5" hidden="false" customHeight="true" outlineLevel="0" collapsed="false">
      <c r="A4" s="13" t="s">
        <v>267</v>
      </c>
      <c r="B4" s="13"/>
      <c r="C4" s="13"/>
      <c r="D4" s="13"/>
      <c r="E4" s="13"/>
      <c r="F4" s="13"/>
      <c r="G4" s="13"/>
      <c r="H4" s="13"/>
    </row>
    <row r="5" customFormat="false" ht="25.5" hidden="false" customHeight="true" outlineLevel="0" collapsed="false">
      <c r="A5" s="13" t="s">
        <v>268</v>
      </c>
      <c r="B5" s="13"/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6"/>
      <c r="B6" s="16"/>
      <c r="C6" s="16"/>
      <c r="D6" s="16"/>
      <c r="E6" s="16"/>
      <c r="F6" s="16"/>
      <c r="G6" s="16"/>
      <c r="H6" s="16"/>
    </row>
    <row r="7" customFormat="false" ht="30" hidden="false" customHeight="true" outlineLevel="0" collapsed="false">
      <c r="A7" s="2" t="s">
        <v>0</v>
      </c>
      <c r="B7" s="2" t="s">
        <v>269</v>
      </c>
      <c r="C7" s="2" t="s">
        <v>270</v>
      </c>
      <c r="D7" s="2" t="s">
        <v>271</v>
      </c>
      <c r="E7" s="2" t="s">
        <v>5</v>
      </c>
      <c r="F7" s="2" t="s">
        <v>272</v>
      </c>
      <c r="G7" s="2" t="s">
        <v>273</v>
      </c>
      <c r="H7" s="2" t="s">
        <v>274</v>
      </c>
    </row>
    <row r="8" customFormat="false" ht="72" hidden="false" customHeight="true" outlineLevel="0" collapsed="false">
      <c r="A8" s="4" t="n">
        <v>1</v>
      </c>
      <c r="B8" s="5" t="s">
        <v>275</v>
      </c>
      <c r="C8" s="17" t="n">
        <v>15</v>
      </c>
      <c r="D8" s="18" t="s">
        <v>276</v>
      </c>
      <c r="E8" s="7" t="n">
        <f aca="false">ROUND(C8*IF(D8="USD",$B$3,1),2)</f>
        <v>15</v>
      </c>
      <c r="F8" s="4" t="s">
        <v>277</v>
      </c>
      <c r="G8" s="5" t="s">
        <v>278</v>
      </c>
      <c r="H8" s="5" t="s">
        <v>279</v>
      </c>
    </row>
    <row r="9" customFormat="false" ht="72" hidden="false" customHeight="true" outlineLevel="0" collapsed="false">
      <c r="A9" s="4" t="n">
        <v>2</v>
      </c>
      <c r="B9" s="5" t="s">
        <v>275</v>
      </c>
      <c r="C9" s="17" t="n">
        <v>15</v>
      </c>
      <c r="D9" s="18" t="s">
        <v>276</v>
      </c>
      <c r="E9" s="7" t="n">
        <f aca="false">ROUND(C9*IF(D9="USD",$B$3,1),2)</f>
        <v>15</v>
      </c>
      <c r="F9" s="4" t="s">
        <v>277</v>
      </c>
      <c r="G9" s="5" t="s">
        <v>280</v>
      </c>
      <c r="H9" s="5" t="s">
        <v>279</v>
      </c>
    </row>
    <row r="10" customFormat="false" ht="72" hidden="false" customHeight="true" outlineLevel="0" collapsed="false">
      <c r="A10" s="4" t="n">
        <v>3</v>
      </c>
      <c r="B10" s="5" t="s">
        <v>281</v>
      </c>
      <c r="C10" s="17" t="n">
        <v>0.11</v>
      </c>
      <c r="D10" s="18" t="s">
        <v>282</v>
      </c>
      <c r="E10" s="7" t="n">
        <f aca="false">ROUND(C10*IF(D10="USD",$B$3,1),2)</f>
        <v>9.26</v>
      </c>
      <c r="F10" s="4" t="s">
        <v>283</v>
      </c>
      <c r="G10" s="5" t="s">
        <v>284</v>
      </c>
      <c r="H10" s="5" t="s">
        <v>285</v>
      </c>
    </row>
    <row r="11" customFormat="false" ht="72" hidden="false" customHeight="true" outlineLevel="0" collapsed="false">
      <c r="A11" s="4" t="n">
        <v>4</v>
      </c>
      <c r="B11" s="5" t="s">
        <v>286</v>
      </c>
      <c r="C11" s="17" t="n">
        <v>0.21</v>
      </c>
      <c r="D11" s="18" t="s">
        <v>282</v>
      </c>
      <c r="E11" s="7" t="n">
        <f aca="false">ROUND(C11*IF(D11="USD",$B$3,1),2)</f>
        <v>17.68</v>
      </c>
      <c r="F11" s="4" t="s">
        <v>283</v>
      </c>
      <c r="G11" s="5" t="s">
        <v>287</v>
      </c>
      <c r="H11" s="5" t="s">
        <v>288</v>
      </c>
    </row>
    <row r="12" customFormat="false" ht="72" hidden="false" customHeight="true" outlineLevel="0" collapsed="false">
      <c r="A12" s="4" t="n">
        <v>5</v>
      </c>
      <c r="B12" s="5" t="s">
        <v>289</v>
      </c>
      <c r="C12" s="17" t="n">
        <v>0.1</v>
      </c>
      <c r="D12" s="18" t="s">
        <v>282</v>
      </c>
      <c r="E12" s="7" t="n">
        <f aca="false">ROUND(C12*IF(D12="USD",$B$3,1),2)</f>
        <v>8.42</v>
      </c>
      <c r="F12" s="4" t="s">
        <v>290</v>
      </c>
      <c r="G12" s="5" t="s">
        <v>291</v>
      </c>
      <c r="H12" s="5" t="s">
        <v>292</v>
      </c>
    </row>
    <row r="13" customFormat="false" ht="72" hidden="false" customHeight="true" outlineLevel="0" collapsed="false">
      <c r="A13" s="4" t="n">
        <v>6</v>
      </c>
      <c r="B13" s="5" t="s">
        <v>289</v>
      </c>
      <c r="C13" s="17" t="n">
        <v>0.1</v>
      </c>
      <c r="D13" s="18" t="s">
        <v>282</v>
      </c>
      <c r="E13" s="7" t="n">
        <f aca="false">ROUND(C13*IF(D13="USD",$B$3,1),2)</f>
        <v>8.42</v>
      </c>
      <c r="F13" s="4" t="s">
        <v>290</v>
      </c>
      <c r="G13" s="5" t="s">
        <v>293</v>
      </c>
      <c r="H13" s="5" t="s">
        <v>292</v>
      </c>
    </row>
    <row r="14" customFormat="false" ht="72" hidden="false" customHeight="true" outlineLevel="0" collapsed="false">
      <c r="A14" s="4" t="n">
        <v>7</v>
      </c>
      <c r="B14" s="5" t="s">
        <v>289</v>
      </c>
      <c r="C14" s="17" t="n">
        <v>0.1</v>
      </c>
      <c r="D14" s="18" t="s">
        <v>282</v>
      </c>
      <c r="E14" s="7" t="n">
        <f aca="false">ROUND(C14*IF(D14="USD",$B$3,1),2)</f>
        <v>8.42</v>
      </c>
      <c r="F14" s="4" t="s">
        <v>283</v>
      </c>
      <c r="G14" s="5" t="s">
        <v>294</v>
      </c>
      <c r="H14" s="5" t="s">
        <v>292</v>
      </c>
    </row>
    <row r="15" customFormat="false" ht="72" hidden="false" customHeight="true" outlineLevel="0" collapsed="false">
      <c r="A15" s="4" t="n">
        <v>8</v>
      </c>
      <c r="B15" s="5" t="s">
        <v>289</v>
      </c>
      <c r="C15" s="17" t="n">
        <v>0.1</v>
      </c>
      <c r="D15" s="18" t="s">
        <v>282</v>
      </c>
      <c r="E15" s="7" t="n">
        <f aca="false">ROUND(C15*IF(D15="USD",$B$3,1),2)</f>
        <v>8.42</v>
      </c>
      <c r="F15" s="4" t="s">
        <v>290</v>
      </c>
      <c r="G15" s="5" t="s">
        <v>295</v>
      </c>
      <c r="H15" s="5" t="s">
        <v>292</v>
      </c>
    </row>
    <row r="16" customFormat="false" ht="72" hidden="false" customHeight="true" outlineLevel="0" collapsed="false">
      <c r="A16" s="4" t="n">
        <v>9</v>
      </c>
      <c r="B16" s="5" t="s">
        <v>289</v>
      </c>
      <c r="C16" s="17" t="n">
        <v>0.1</v>
      </c>
      <c r="D16" s="18" t="s">
        <v>282</v>
      </c>
      <c r="E16" s="7" t="n">
        <f aca="false">ROUND(C16*IF(D16="USD",$B$3,1),2)</f>
        <v>8.42</v>
      </c>
      <c r="F16" s="4" t="s">
        <v>290</v>
      </c>
      <c r="G16" s="5" t="s">
        <v>296</v>
      </c>
      <c r="H16" s="5" t="s">
        <v>292</v>
      </c>
    </row>
    <row r="17" customFormat="false" ht="72" hidden="false" customHeight="true" outlineLevel="0" collapsed="false">
      <c r="A17" s="4" t="n">
        <v>10</v>
      </c>
      <c r="B17" s="5" t="s">
        <v>289</v>
      </c>
      <c r="C17" s="17" t="n">
        <v>0.1</v>
      </c>
      <c r="D17" s="18" t="s">
        <v>282</v>
      </c>
      <c r="E17" s="7" t="n">
        <f aca="false">ROUND(C17*IF(D17="USD",$B$3,1),2)</f>
        <v>8.42</v>
      </c>
      <c r="F17" s="4" t="s">
        <v>290</v>
      </c>
      <c r="G17" s="5" t="s">
        <v>297</v>
      </c>
      <c r="H17" s="5" t="s">
        <v>292</v>
      </c>
    </row>
    <row r="18" customFormat="false" ht="72" hidden="false" customHeight="true" outlineLevel="0" collapsed="false">
      <c r="A18" s="4" t="n">
        <v>11</v>
      </c>
      <c r="B18" s="5" t="s">
        <v>289</v>
      </c>
      <c r="C18" s="17" t="n">
        <v>0.1</v>
      </c>
      <c r="D18" s="18" t="s">
        <v>282</v>
      </c>
      <c r="E18" s="7" t="n">
        <f aca="false">ROUND(C18*IF(D18="USD",$B$3,1),2)</f>
        <v>8.42</v>
      </c>
      <c r="F18" s="4" t="s">
        <v>290</v>
      </c>
      <c r="G18" s="5" t="s">
        <v>298</v>
      </c>
      <c r="H18" s="5" t="s">
        <v>292</v>
      </c>
    </row>
    <row r="19" customFormat="false" ht="72" hidden="false" customHeight="true" outlineLevel="0" collapsed="false">
      <c r="A19" s="4" t="n">
        <v>12</v>
      </c>
      <c r="B19" s="5" t="s">
        <v>299</v>
      </c>
      <c r="C19" s="17" t="n">
        <v>0.35</v>
      </c>
      <c r="D19" s="18" t="s">
        <v>282</v>
      </c>
      <c r="E19" s="7" t="n">
        <f aca="false">ROUND(C19*IF(D19="USD",$B$3,1),2)</f>
        <v>29.47</v>
      </c>
      <c r="F19" s="4" t="s">
        <v>283</v>
      </c>
      <c r="G19" s="5" t="s">
        <v>300</v>
      </c>
      <c r="H19" s="5" t="s">
        <v>301</v>
      </c>
    </row>
    <row r="20" customFormat="false" ht="72" hidden="false" customHeight="true" outlineLevel="0" collapsed="false">
      <c r="A20" s="4" t="n">
        <v>13</v>
      </c>
      <c r="B20" s="5" t="s">
        <v>302</v>
      </c>
      <c r="C20" s="17" t="n">
        <v>0.21</v>
      </c>
      <c r="D20" s="18" t="s">
        <v>282</v>
      </c>
      <c r="E20" s="7" t="n">
        <f aca="false">ROUND(C20*IF(D20="USD",$B$3,1),2)</f>
        <v>17.68</v>
      </c>
      <c r="F20" s="4" t="s">
        <v>283</v>
      </c>
      <c r="G20" s="5" t="s">
        <v>303</v>
      </c>
      <c r="H20" s="5" t="s">
        <v>304</v>
      </c>
    </row>
    <row r="21" customFormat="false" ht="72" hidden="false" customHeight="true" outlineLevel="0" collapsed="false">
      <c r="A21" s="4" t="n">
        <v>14</v>
      </c>
      <c r="B21" s="5" t="s">
        <v>39</v>
      </c>
      <c r="C21" s="17" t="n">
        <v>0.82</v>
      </c>
      <c r="D21" s="18" t="s">
        <v>282</v>
      </c>
      <c r="E21" s="7" t="n">
        <f aca="false">ROUND(C21*IF(D21="USD",$B$3,1),2)</f>
        <v>69.04</v>
      </c>
      <c r="F21" s="4" t="s">
        <v>283</v>
      </c>
      <c r="G21" s="5"/>
      <c r="H21" s="5" t="s">
        <v>305</v>
      </c>
    </row>
    <row r="22" customFormat="false" ht="72" hidden="false" customHeight="true" outlineLevel="0" collapsed="false">
      <c r="A22" s="4" t="n">
        <v>15</v>
      </c>
      <c r="B22" s="5" t="s">
        <v>275</v>
      </c>
      <c r="C22" s="17" t="n">
        <v>15</v>
      </c>
      <c r="D22" s="18" t="s">
        <v>276</v>
      </c>
      <c r="E22" s="7" t="n">
        <f aca="false">ROUND(C22*IF(D22="USD",$B$3,1),2)</f>
        <v>15</v>
      </c>
      <c r="F22" s="4" t="s">
        <v>277</v>
      </c>
      <c r="G22" s="5" t="s">
        <v>306</v>
      </c>
      <c r="H22" s="5" t="s">
        <v>279</v>
      </c>
    </row>
    <row r="23" customFormat="false" ht="72" hidden="false" customHeight="true" outlineLevel="0" collapsed="false">
      <c r="A23" s="4" t="n">
        <v>16</v>
      </c>
      <c r="B23" s="5" t="s">
        <v>275</v>
      </c>
      <c r="C23" s="17" t="n">
        <v>20</v>
      </c>
      <c r="D23" s="18" t="s">
        <v>276</v>
      </c>
      <c r="E23" s="7" t="n">
        <f aca="false">ROUND(C23*IF(D23="USD",$B$3,1),2)</f>
        <v>20</v>
      </c>
      <c r="F23" s="4" t="s">
        <v>277</v>
      </c>
      <c r="G23" s="5" t="s">
        <v>307</v>
      </c>
      <c r="H23" s="5" t="s">
        <v>279</v>
      </c>
    </row>
    <row r="24" customFormat="false" ht="72" hidden="false" customHeight="true" outlineLevel="0" collapsed="false">
      <c r="A24" s="4" t="n">
        <v>17</v>
      </c>
      <c r="B24" s="5" t="s">
        <v>275</v>
      </c>
      <c r="C24" s="17" t="n">
        <v>15</v>
      </c>
      <c r="D24" s="18" t="s">
        <v>276</v>
      </c>
      <c r="E24" s="7" t="n">
        <f aca="false">ROUND(C24*IF(D24="USD",$B$3,1),2)</f>
        <v>15</v>
      </c>
      <c r="F24" s="4" t="s">
        <v>277</v>
      </c>
      <c r="G24" s="5" t="s">
        <v>308</v>
      </c>
      <c r="H24" s="5" t="s">
        <v>279</v>
      </c>
    </row>
    <row r="25" customFormat="false" ht="72" hidden="false" customHeight="true" outlineLevel="0" collapsed="false">
      <c r="A25" s="4" t="n">
        <v>18</v>
      </c>
      <c r="B25" s="5" t="s">
        <v>309</v>
      </c>
      <c r="C25" s="17" t="n">
        <v>0.98</v>
      </c>
      <c r="D25" s="18" t="s">
        <v>282</v>
      </c>
      <c r="E25" s="7" t="n">
        <f aca="false">ROUND(C25*IF(D25="USD",$B$3,1),2)</f>
        <v>82.51</v>
      </c>
      <c r="F25" s="4" t="s">
        <v>283</v>
      </c>
      <c r="G25" s="5" t="s">
        <v>310</v>
      </c>
      <c r="H25" s="5" t="s">
        <v>311</v>
      </c>
    </row>
    <row r="26" customFormat="false" ht="72" hidden="false" customHeight="true" outlineLevel="0" collapsed="false">
      <c r="A26" s="4" t="n">
        <v>19</v>
      </c>
      <c r="B26" s="5" t="s">
        <v>312</v>
      </c>
      <c r="C26" s="17" t="n">
        <v>0.1</v>
      </c>
      <c r="D26" s="18" t="s">
        <v>282</v>
      </c>
      <c r="E26" s="7" t="n">
        <f aca="false">ROUND(C26*IF(D26="USD",$B$3,1),2)</f>
        <v>8.42</v>
      </c>
      <c r="F26" s="4" t="s">
        <v>290</v>
      </c>
      <c r="G26" s="5" t="s">
        <v>313</v>
      </c>
      <c r="H26" s="5" t="s">
        <v>314</v>
      </c>
    </row>
    <row r="27" customFormat="false" ht="72" hidden="false" customHeight="true" outlineLevel="0" collapsed="false">
      <c r="A27" s="4" t="n">
        <v>20</v>
      </c>
      <c r="B27" s="5" t="s">
        <v>312</v>
      </c>
      <c r="C27" s="17" t="n">
        <v>0.1</v>
      </c>
      <c r="D27" s="18" t="s">
        <v>282</v>
      </c>
      <c r="E27" s="7" t="n">
        <f aca="false">ROUND(C27*IF(D27="USD",$B$3,1),2)</f>
        <v>8.42</v>
      </c>
      <c r="F27" s="4" t="s">
        <v>290</v>
      </c>
      <c r="G27" s="5" t="s">
        <v>315</v>
      </c>
      <c r="H27" s="5" t="s">
        <v>314</v>
      </c>
    </row>
    <row r="28" customFormat="false" ht="72" hidden="false" customHeight="true" outlineLevel="0" collapsed="false">
      <c r="A28" s="4" t="n">
        <v>21</v>
      </c>
      <c r="B28" s="5" t="s">
        <v>312</v>
      </c>
      <c r="C28" s="17" t="n">
        <v>0.1</v>
      </c>
      <c r="D28" s="18" t="s">
        <v>282</v>
      </c>
      <c r="E28" s="7" t="n">
        <f aca="false">ROUND(C28*IF(D28="USD",$B$3,1),2)</f>
        <v>8.42</v>
      </c>
      <c r="F28" s="4" t="s">
        <v>283</v>
      </c>
      <c r="G28" s="5" t="s">
        <v>294</v>
      </c>
      <c r="H28" s="5" t="s">
        <v>314</v>
      </c>
    </row>
    <row r="29" customFormat="false" ht="72" hidden="false" customHeight="true" outlineLevel="0" collapsed="false">
      <c r="A29" s="4" t="n">
        <v>22</v>
      </c>
      <c r="B29" s="5" t="s">
        <v>312</v>
      </c>
      <c r="C29" s="17" t="n">
        <v>0.1</v>
      </c>
      <c r="D29" s="18" t="s">
        <v>282</v>
      </c>
      <c r="E29" s="7" t="n">
        <f aca="false">ROUND(C29*IF(D29="USD",$B$3,1),2)</f>
        <v>8.42</v>
      </c>
      <c r="F29" s="4" t="s">
        <v>290</v>
      </c>
      <c r="G29" s="5" t="s">
        <v>316</v>
      </c>
      <c r="H29" s="5" t="s">
        <v>314</v>
      </c>
    </row>
    <row r="30" customFormat="false" ht="72" hidden="false" customHeight="true" outlineLevel="0" collapsed="false">
      <c r="A30" s="4" t="n">
        <v>23</v>
      </c>
      <c r="B30" s="5" t="s">
        <v>312</v>
      </c>
      <c r="C30" s="17" t="n">
        <v>0.1</v>
      </c>
      <c r="D30" s="18" t="s">
        <v>282</v>
      </c>
      <c r="E30" s="7" t="n">
        <f aca="false">ROUND(C30*IF(D30="USD",$B$3,1),2)</f>
        <v>8.42</v>
      </c>
      <c r="F30" s="4" t="s">
        <v>290</v>
      </c>
      <c r="G30" s="5" t="s">
        <v>317</v>
      </c>
      <c r="H30" s="5" t="s">
        <v>314</v>
      </c>
    </row>
    <row r="31" customFormat="false" ht="72" hidden="false" customHeight="true" outlineLevel="0" collapsed="false">
      <c r="A31" s="4" t="n">
        <v>24</v>
      </c>
      <c r="B31" s="5" t="s">
        <v>312</v>
      </c>
      <c r="C31" s="17" t="n">
        <v>0.1</v>
      </c>
      <c r="D31" s="18" t="s">
        <v>282</v>
      </c>
      <c r="E31" s="7" t="n">
        <f aca="false">ROUND(C31*IF(D31="USD",$B$3,1),2)</f>
        <v>8.42</v>
      </c>
      <c r="F31" s="4" t="s">
        <v>290</v>
      </c>
      <c r="G31" s="5" t="s">
        <v>318</v>
      </c>
      <c r="H31" s="5" t="s">
        <v>314</v>
      </c>
    </row>
    <row r="32" customFormat="false" ht="72" hidden="false" customHeight="true" outlineLevel="0" collapsed="false">
      <c r="A32" s="4" t="n">
        <v>25</v>
      </c>
      <c r="B32" s="5" t="s">
        <v>312</v>
      </c>
      <c r="C32" s="17" t="n">
        <v>0.1</v>
      </c>
      <c r="D32" s="18" t="s">
        <v>282</v>
      </c>
      <c r="E32" s="7" t="n">
        <f aca="false">ROUND(C32*IF(D32="USD",$B$3,1),2)</f>
        <v>8.42</v>
      </c>
      <c r="F32" s="4" t="s">
        <v>290</v>
      </c>
      <c r="G32" s="5" t="s">
        <v>319</v>
      </c>
      <c r="H32" s="5" t="s">
        <v>314</v>
      </c>
    </row>
    <row r="33" customFormat="false" ht="72" hidden="false" customHeight="true" outlineLevel="0" collapsed="false">
      <c r="A33" s="4" t="n">
        <v>26</v>
      </c>
      <c r="B33" s="5" t="s">
        <v>312</v>
      </c>
      <c r="C33" s="17" t="n">
        <v>0.1</v>
      </c>
      <c r="D33" s="18" t="s">
        <v>282</v>
      </c>
      <c r="E33" s="7" t="n">
        <f aca="false">ROUND(C33*IF(D33="USD",$B$3,1),2)</f>
        <v>8.42</v>
      </c>
      <c r="F33" s="4" t="s">
        <v>290</v>
      </c>
      <c r="G33" s="5" t="s">
        <v>320</v>
      </c>
      <c r="H33" s="5" t="s">
        <v>314</v>
      </c>
    </row>
    <row r="34" customFormat="false" ht="72" hidden="false" customHeight="true" outlineLevel="0" collapsed="false">
      <c r="A34" s="4" t="n">
        <v>27</v>
      </c>
      <c r="B34" s="5" t="s">
        <v>312</v>
      </c>
      <c r="C34" s="17" t="n">
        <v>0.1</v>
      </c>
      <c r="D34" s="18" t="s">
        <v>282</v>
      </c>
      <c r="E34" s="7" t="n">
        <f aca="false">ROUND(C34*IF(D34="USD",$B$3,1),2)</f>
        <v>8.42</v>
      </c>
      <c r="F34" s="4" t="s">
        <v>290</v>
      </c>
      <c r="G34" s="5" t="s">
        <v>321</v>
      </c>
      <c r="H34" s="5" t="s">
        <v>314</v>
      </c>
    </row>
    <row r="35" customFormat="false" ht="72" hidden="false" customHeight="true" outlineLevel="0" collapsed="false">
      <c r="A35" s="4" t="n">
        <v>28</v>
      </c>
      <c r="B35" s="5" t="s">
        <v>312</v>
      </c>
      <c r="C35" s="17" t="n">
        <v>0.1</v>
      </c>
      <c r="D35" s="18" t="s">
        <v>282</v>
      </c>
      <c r="E35" s="7" t="n">
        <f aca="false">ROUND(C35*IF(D35="USD",$B$3,1),2)</f>
        <v>8.42</v>
      </c>
      <c r="F35" s="4" t="s">
        <v>290</v>
      </c>
      <c r="G35" s="5" t="s">
        <v>322</v>
      </c>
      <c r="H35" s="5" t="s">
        <v>314</v>
      </c>
    </row>
    <row r="36" customFormat="false" ht="72" hidden="false" customHeight="true" outlineLevel="0" collapsed="false">
      <c r="A36" s="4" t="n">
        <v>29</v>
      </c>
      <c r="B36" s="5" t="s">
        <v>312</v>
      </c>
      <c r="C36" s="17" t="n">
        <v>0.1</v>
      </c>
      <c r="D36" s="18" t="s">
        <v>282</v>
      </c>
      <c r="E36" s="7" t="n">
        <f aca="false">ROUND(C36*IF(D36="USD",$B$3,1),2)</f>
        <v>8.42</v>
      </c>
      <c r="F36" s="4" t="s">
        <v>290</v>
      </c>
      <c r="G36" s="5" t="s">
        <v>323</v>
      </c>
      <c r="H36" s="5" t="s">
        <v>314</v>
      </c>
    </row>
    <row r="37" customFormat="false" ht="72" hidden="false" customHeight="true" outlineLevel="0" collapsed="false">
      <c r="A37" s="4" t="n">
        <v>30</v>
      </c>
      <c r="B37" s="5" t="s">
        <v>324</v>
      </c>
      <c r="C37" s="17" t="n">
        <v>0.69</v>
      </c>
      <c r="D37" s="18" t="s">
        <v>282</v>
      </c>
      <c r="E37" s="7" t="n">
        <f aca="false">ROUND(C37*IF(D37="USD",$B$3,1),2)</f>
        <v>58.1</v>
      </c>
      <c r="F37" s="4" t="s">
        <v>283</v>
      </c>
      <c r="G37" s="5" t="s">
        <v>325</v>
      </c>
      <c r="H37" s="5" t="s">
        <v>326</v>
      </c>
    </row>
    <row r="38" customFormat="false" ht="72" hidden="false" customHeight="true" outlineLevel="0" collapsed="false">
      <c r="A38" s="4" t="n">
        <v>31</v>
      </c>
      <c r="B38" s="5" t="s">
        <v>327</v>
      </c>
      <c r="C38" s="17" t="n">
        <v>1.83</v>
      </c>
      <c r="D38" s="18" t="s">
        <v>282</v>
      </c>
      <c r="E38" s="7" t="n">
        <f aca="false">ROUND(C38*IF(D38="USD",$B$3,1),2)</f>
        <v>154.08</v>
      </c>
      <c r="F38" s="4" t="s">
        <v>283</v>
      </c>
      <c r="G38" s="5" t="s">
        <v>328</v>
      </c>
      <c r="H38" s="5" t="s">
        <v>329</v>
      </c>
    </row>
    <row r="39" customFormat="false" ht="72" hidden="false" customHeight="true" outlineLevel="0" collapsed="false">
      <c r="A39" s="4" t="n">
        <v>32</v>
      </c>
      <c r="B39" s="5" t="s">
        <v>275</v>
      </c>
      <c r="C39" s="17" t="n">
        <v>30</v>
      </c>
      <c r="D39" s="18" t="s">
        <v>276</v>
      </c>
      <c r="E39" s="7" t="n">
        <f aca="false">ROUND(C39*IF(D39="USD",$B$3,1),2)</f>
        <v>30</v>
      </c>
      <c r="F39" s="4" t="s">
        <v>277</v>
      </c>
      <c r="G39" s="5" t="s">
        <v>330</v>
      </c>
      <c r="H39" s="5" t="s">
        <v>279</v>
      </c>
    </row>
    <row r="40" customFormat="false" ht="72" hidden="false" customHeight="true" outlineLevel="0" collapsed="false">
      <c r="A40" s="4" t="n">
        <v>33</v>
      </c>
      <c r="B40" s="5" t="s">
        <v>331</v>
      </c>
      <c r="C40" s="17" t="n">
        <v>4</v>
      </c>
      <c r="D40" s="18" t="s">
        <v>282</v>
      </c>
      <c r="E40" s="7" t="n">
        <f aca="false">ROUND(C40*IF(D40="USD",$B$3,1),2)</f>
        <v>336.79</v>
      </c>
      <c r="F40" s="4" t="s">
        <v>283</v>
      </c>
      <c r="G40" s="5" t="s">
        <v>332</v>
      </c>
      <c r="H40" s="5" t="s">
        <v>333</v>
      </c>
    </row>
    <row r="41" customFormat="false" ht="72" hidden="false" customHeight="true" outlineLevel="0" collapsed="false">
      <c r="A41" s="4" t="n">
        <v>34</v>
      </c>
      <c r="B41" s="5" t="s">
        <v>82</v>
      </c>
      <c r="C41" s="17" t="n">
        <v>14.77</v>
      </c>
      <c r="D41" s="18" t="s">
        <v>282</v>
      </c>
      <c r="E41" s="7" t="n">
        <f aca="false">ROUND(C41*IF(D41="USD",$B$3,1),2)</f>
        <v>1243.6</v>
      </c>
      <c r="F41" s="4" t="s">
        <v>283</v>
      </c>
      <c r="G41" s="5"/>
      <c r="H41" s="5" t="s">
        <v>334</v>
      </c>
    </row>
    <row r="42" customFormat="false" ht="72" hidden="false" customHeight="true" outlineLevel="0" collapsed="false">
      <c r="A42" s="4" t="n">
        <v>35</v>
      </c>
      <c r="B42" s="5" t="s">
        <v>335</v>
      </c>
      <c r="C42" s="17" t="n">
        <v>2.12</v>
      </c>
      <c r="D42" s="18" t="s">
        <v>282</v>
      </c>
      <c r="E42" s="7" t="n">
        <f aca="false">ROUND(C42*IF(D42="USD",$B$3,1),2)</f>
        <v>178.5</v>
      </c>
      <c r="F42" s="4" t="s">
        <v>283</v>
      </c>
      <c r="G42" s="5" t="s">
        <v>336</v>
      </c>
      <c r="H42" s="5" t="s">
        <v>337</v>
      </c>
    </row>
    <row r="43" customFormat="false" ht="72" hidden="false" customHeight="true" outlineLevel="0" collapsed="false">
      <c r="A43" s="4" t="n">
        <v>36</v>
      </c>
      <c r="B43" s="5" t="s">
        <v>338</v>
      </c>
      <c r="C43" s="17" t="n">
        <v>2.19</v>
      </c>
      <c r="D43" s="18" t="s">
        <v>282</v>
      </c>
      <c r="E43" s="7" t="n">
        <f aca="false">ROUND(C43*IF(D43="USD",$B$3,1),2)</f>
        <v>184.39</v>
      </c>
      <c r="F43" s="4" t="s">
        <v>283</v>
      </c>
      <c r="G43" s="5" t="s">
        <v>339</v>
      </c>
      <c r="H43" s="5" t="s">
        <v>340</v>
      </c>
    </row>
    <row r="44" customFormat="false" ht="72" hidden="false" customHeight="true" outlineLevel="0" collapsed="false">
      <c r="A44" s="4" t="n">
        <v>37</v>
      </c>
      <c r="B44" s="5" t="s">
        <v>88</v>
      </c>
      <c r="C44" s="17" t="n">
        <v>4.68</v>
      </c>
      <c r="D44" s="18" t="s">
        <v>282</v>
      </c>
      <c r="E44" s="7" t="n">
        <f aca="false">ROUND(C44*IF(D44="USD",$B$3,1),2)</f>
        <v>394.04</v>
      </c>
      <c r="F44" s="4" t="s">
        <v>283</v>
      </c>
      <c r="G44" s="5" t="s">
        <v>300</v>
      </c>
      <c r="H44" s="5" t="s">
        <v>341</v>
      </c>
    </row>
    <row r="45" customFormat="false" ht="72" hidden="false" customHeight="true" outlineLevel="0" collapsed="false">
      <c r="A45" s="4" t="n">
        <v>38</v>
      </c>
      <c r="B45" s="5" t="s">
        <v>90</v>
      </c>
      <c r="C45" s="17" t="n">
        <v>0.41</v>
      </c>
      <c r="D45" s="18" t="s">
        <v>282</v>
      </c>
      <c r="E45" s="7" t="n">
        <f aca="false">ROUND(C45*IF(D45="USD",$B$3,1),2)</f>
        <v>34.52</v>
      </c>
      <c r="F45" s="4" t="s">
        <v>283</v>
      </c>
      <c r="G45" s="5"/>
      <c r="H45" s="5" t="s">
        <v>342</v>
      </c>
    </row>
    <row r="46" customFormat="false" ht="72" hidden="false" customHeight="true" outlineLevel="0" collapsed="false">
      <c r="A46" s="4" t="n">
        <v>39</v>
      </c>
      <c r="B46" s="5" t="s">
        <v>343</v>
      </c>
      <c r="C46" s="17" t="n">
        <v>6.61</v>
      </c>
      <c r="D46" s="18" t="s">
        <v>282</v>
      </c>
      <c r="E46" s="7" t="n">
        <f aca="false">ROUND(C46*IF(D46="USD",$B$3,1),2)</f>
        <v>556.55</v>
      </c>
      <c r="F46" s="4" t="s">
        <v>283</v>
      </c>
      <c r="G46" s="5" t="s">
        <v>344</v>
      </c>
      <c r="H46" s="5" t="s">
        <v>345</v>
      </c>
    </row>
    <row r="47" customFormat="false" ht="72" hidden="false" customHeight="true" outlineLevel="0" collapsed="false">
      <c r="A47" s="4" t="n">
        <v>40</v>
      </c>
      <c r="B47" s="5" t="s">
        <v>346</v>
      </c>
      <c r="C47" s="17" t="n">
        <v>0.45</v>
      </c>
      <c r="D47" s="18" t="s">
        <v>282</v>
      </c>
      <c r="E47" s="7" t="n">
        <f aca="false">ROUND(C47*IF(D47="USD",$B$3,1),2)</f>
        <v>37.89</v>
      </c>
      <c r="F47" s="4" t="s">
        <v>283</v>
      </c>
      <c r="G47" s="5" t="s">
        <v>347</v>
      </c>
      <c r="H47" s="5" t="s">
        <v>348</v>
      </c>
    </row>
    <row r="48" customFormat="false" ht="72" hidden="false" customHeight="true" outlineLevel="0" collapsed="false">
      <c r="A48" s="4" t="n">
        <v>41</v>
      </c>
      <c r="B48" s="5" t="s">
        <v>349</v>
      </c>
      <c r="C48" s="17" t="n">
        <v>0.92</v>
      </c>
      <c r="D48" s="18" t="s">
        <v>282</v>
      </c>
      <c r="E48" s="7" t="n">
        <f aca="false">ROUND(C48*IF(D48="USD",$B$3,1),2)</f>
        <v>77.46</v>
      </c>
      <c r="F48" s="4" t="s">
        <v>283</v>
      </c>
      <c r="G48" s="5"/>
      <c r="H48" s="5" t="s">
        <v>350</v>
      </c>
    </row>
    <row r="49" customFormat="false" ht="72" hidden="false" customHeight="true" outlineLevel="0" collapsed="false">
      <c r="A49" s="4" t="n">
        <v>42</v>
      </c>
      <c r="B49" s="5" t="s">
        <v>351</v>
      </c>
      <c r="C49" s="17" t="n">
        <v>0.28</v>
      </c>
      <c r="D49" s="18" t="s">
        <v>282</v>
      </c>
      <c r="E49" s="7" t="n">
        <f aca="false">ROUND(C49*IF(D49="USD",$B$3,1),2)</f>
        <v>23.58</v>
      </c>
      <c r="F49" s="4" t="s">
        <v>283</v>
      </c>
      <c r="G49" s="5"/>
      <c r="H49" s="5" t="s">
        <v>352</v>
      </c>
    </row>
    <row r="50" customFormat="false" ht="72" hidden="false" customHeight="true" outlineLevel="0" collapsed="false">
      <c r="A50" s="4" t="n">
        <v>43</v>
      </c>
      <c r="B50" s="5" t="s">
        <v>353</v>
      </c>
      <c r="C50" s="17" t="n">
        <v>0.49</v>
      </c>
      <c r="D50" s="18" t="s">
        <v>282</v>
      </c>
      <c r="E50" s="7" t="n">
        <f aca="false">ROUND(C50*IF(D50="USD",$B$3,1),2)</f>
        <v>41.26</v>
      </c>
      <c r="F50" s="4" t="s">
        <v>283</v>
      </c>
      <c r="G50" s="5"/>
      <c r="H50" s="5" t="s">
        <v>354</v>
      </c>
    </row>
    <row r="51" customFormat="false" ht="72" hidden="false" customHeight="true" outlineLevel="0" collapsed="false">
      <c r="A51" s="4" t="n">
        <v>44</v>
      </c>
      <c r="B51" s="5" t="s">
        <v>355</v>
      </c>
      <c r="C51" s="17" t="n">
        <v>0.75</v>
      </c>
      <c r="D51" s="18" t="s">
        <v>282</v>
      </c>
      <c r="E51" s="7" t="n">
        <f aca="false">ROUND(C51*IF(D51="USD",$B$3,1),2)</f>
        <v>63.15</v>
      </c>
      <c r="F51" s="4" t="s">
        <v>283</v>
      </c>
      <c r="G51" s="5"/>
      <c r="H51" s="5" t="s">
        <v>356</v>
      </c>
    </row>
    <row r="52" customFormat="false" ht="72" hidden="false" customHeight="true" outlineLevel="0" collapsed="false">
      <c r="A52" s="4" t="n">
        <v>45</v>
      </c>
      <c r="B52" s="5" t="s">
        <v>357</v>
      </c>
      <c r="C52" s="17" t="n">
        <v>0.5</v>
      </c>
      <c r="D52" s="18" t="s">
        <v>282</v>
      </c>
      <c r="E52" s="7" t="n">
        <f aca="false">ROUND(C52*IF(D52="USD",$B$3,1),2)</f>
        <v>42.1</v>
      </c>
      <c r="F52" s="4" t="s">
        <v>283</v>
      </c>
      <c r="G52" s="5" t="s">
        <v>358</v>
      </c>
      <c r="H52" s="5" t="s">
        <v>359</v>
      </c>
    </row>
    <row r="53" customFormat="false" ht="72" hidden="false" customHeight="true" outlineLevel="0" collapsed="false">
      <c r="A53" s="4" t="n">
        <v>46</v>
      </c>
      <c r="B53" s="5" t="s">
        <v>275</v>
      </c>
      <c r="C53" s="17" t="n">
        <v>35</v>
      </c>
      <c r="D53" s="18" t="s">
        <v>276</v>
      </c>
      <c r="E53" s="7" t="n">
        <f aca="false">ROUND(C53*IF(D53="USD",$B$3,1),2)</f>
        <v>35</v>
      </c>
      <c r="F53" s="4" t="s">
        <v>277</v>
      </c>
      <c r="G53" s="5" t="s">
        <v>360</v>
      </c>
      <c r="H53" s="5" t="s">
        <v>279</v>
      </c>
    </row>
    <row r="54" customFormat="false" ht="72" hidden="false" customHeight="true" outlineLevel="0" collapsed="false">
      <c r="A54" s="4" t="n">
        <v>47</v>
      </c>
      <c r="B54" s="5" t="s">
        <v>275</v>
      </c>
      <c r="C54" s="17" t="n">
        <v>25</v>
      </c>
      <c r="D54" s="18" t="s">
        <v>276</v>
      </c>
      <c r="E54" s="7" t="n">
        <f aca="false">ROUND(C54*IF(D54="USD",$B$3,1),2)</f>
        <v>25</v>
      </c>
      <c r="F54" s="4" t="s">
        <v>277</v>
      </c>
      <c r="G54" s="5" t="s">
        <v>361</v>
      </c>
      <c r="H54" s="5" t="s">
        <v>279</v>
      </c>
    </row>
    <row r="55" customFormat="false" ht="72" hidden="false" customHeight="true" outlineLevel="0" collapsed="false">
      <c r="A55" s="4" t="n">
        <v>48</v>
      </c>
      <c r="B55" s="5" t="s">
        <v>362</v>
      </c>
      <c r="C55" s="17" t="n">
        <v>3.84</v>
      </c>
      <c r="D55" s="18" t="s">
        <v>282</v>
      </c>
      <c r="E55" s="7" t="n">
        <f aca="false">ROUND(C55*IF(D55="USD",$B$3,1),2)</f>
        <v>323.32</v>
      </c>
      <c r="F55" s="4" t="s">
        <v>283</v>
      </c>
      <c r="G55" s="5" t="s">
        <v>363</v>
      </c>
      <c r="H55" s="5" t="s">
        <v>364</v>
      </c>
    </row>
    <row r="56" customFormat="false" ht="72" hidden="false" customHeight="true" outlineLevel="0" collapsed="false">
      <c r="A56" s="4" t="n">
        <v>49</v>
      </c>
      <c r="B56" s="5" t="s">
        <v>365</v>
      </c>
      <c r="C56" s="17" t="n">
        <v>2</v>
      </c>
      <c r="D56" s="18" t="s">
        <v>282</v>
      </c>
      <c r="E56" s="7" t="n">
        <f aca="false">ROUND(C56*IF(D56="USD",$B$3,1),2)</f>
        <v>168.4</v>
      </c>
      <c r="F56" s="4" t="s">
        <v>283</v>
      </c>
      <c r="G56" s="5" t="s">
        <v>366</v>
      </c>
      <c r="H56" s="5" t="s">
        <v>367</v>
      </c>
    </row>
    <row r="57" customFormat="false" ht="72" hidden="false" customHeight="true" outlineLevel="0" collapsed="false">
      <c r="A57" s="4" t="n">
        <v>50</v>
      </c>
      <c r="B57" s="5" t="s">
        <v>368</v>
      </c>
      <c r="C57" s="17" t="n">
        <v>0.75</v>
      </c>
      <c r="D57" s="18" t="s">
        <v>282</v>
      </c>
      <c r="E57" s="7" t="n">
        <f aca="false">ROUND(C57*IF(D57="USD",$B$3,1),2)</f>
        <v>63.15</v>
      </c>
      <c r="F57" s="4" t="s">
        <v>283</v>
      </c>
      <c r="G57" s="5" t="s">
        <v>369</v>
      </c>
      <c r="H57" s="5" t="s">
        <v>370</v>
      </c>
    </row>
    <row r="58" customFormat="false" ht="72" hidden="false" customHeight="true" outlineLevel="0" collapsed="false">
      <c r="A58" s="4" t="n">
        <v>51</v>
      </c>
      <c r="B58" s="5" t="s">
        <v>118</v>
      </c>
      <c r="C58" s="17" t="n">
        <v>7.2</v>
      </c>
      <c r="D58" s="18" t="s">
        <v>282</v>
      </c>
      <c r="E58" s="7" t="n">
        <f aca="false">ROUND(C58*IF(D58="USD",$B$3,1),2)</f>
        <v>606.22</v>
      </c>
      <c r="F58" s="4" t="s">
        <v>283</v>
      </c>
      <c r="G58" s="5" t="s">
        <v>371</v>
      </c>
      <c r="H58" s="5" t="s">
        <v>372</v>
      </c>
    </row>
    <row r="59" customFormat="false" ht="72" hidden="false" customHeight="true" outlineLevel="0" collapsed="false">
      <c r="A59" s="4" t="n">
        <v>52</v>
      </c>
      <c r="B59" s="5" t="s">
        <v>275</v>
      </c>
      <c r="C59" s="17" t="n">
        <v>60</v>
      </c>
      <c r="D59" s="18" t="s">
        <v>276</v>
      </c>
      <c r="E59" s="7" t="n">
        <f aca="false">ROUND(C59*IF(D59="USD",$B$3,1),2)</f>
        <v>60</v>
      </c>
      <c r="F59" s="4" t="s">
        <v>277</v>
      </c>
      <c r="G59" s="5" t="s">
        <v>373</v>
      </c>
      <c r="H59" s="5" t="s">
        <v>279</v>
      </c>
    </row>
    <row r="60" customFormat="false" ht="72" hidden="false" customHeight="true" outlineLevel="0" collapsed="false">
      <c r="A60" s="4" t="n">
        <v>53</v>
      </c>
      <c r="B60" s="5" t="s">
        <v>275</v>
      </c>
      <c r="C60" s="17" t="n">
        <v>40</v>
      </c>
      <c r="D60" s="18" t="s">
        <v>276</v>
      </c>
      <c r="E60" s="7" t="n">
        <f aca="false">ROUND(C60*IF(D60="USD",$B$3,1),2)</f>
        <v>40</v>
      </c>
      <c r="F60" s="4" t="s">
        <v>277</v>
      </c>
      <c r="G60" s="5" t="s">
        <v>374</v>
      </c>
      <c r="H60" s="5" t="s">
        <v>279</v>
      </c>
    </row>
    <row r="61" customFormat="false" ht="72" hidden="false" customHeight="true" outlineLevel="0" collapsed="false">
      <c r="A61" s="4" t="n">
        <v>54</v>
      </c>
      <c r="B61" s="5" t="s">
        <v>275</v>
      </c>
      <c r="C61" s="17" t="n">
        <v>15</v>
      </c>
      <c r="D61" s="18" t="s">
        <v>276</v>
      </c>
      <c r="E61" s="7" t="n">
        <f aca="false">ROUND(C61*IF(D61="USD",$B$3,1),2)</f>
        <v>15</v>
      </c>
      <c r="F61" s="4" t="s">
        <v>277</v>
      </c>
      <c r="G61" s="5" t="s">
        <v>375</v>
      </c>
      <c r="H61" s="5" t="s">
        <v>279</v>
      </c>
    </row>
    <row r="62" customFormat="false" ht="72" hidden="false" customHeight="true" outlineLevel="0" collapsed="false">
      <c r="A62" s="4" t="n">
        <v>55</v>
      </c>
      <c r="B62" s="5" t="s">
        <v>275</v>
      </c>
      <c r="C62" s="17" t="n">
        <v>50</v>
      </c>
      <c r="D62" s="18" t="s">
        <v>276</v>
      </c>
      <c r="E62" s="7" t="n">
        <f aca="false">ROUND(C62*IF(D62="USD",$B$3,1),2)</f>
        <v>50</v>
      </c>
      <c r="F62" s="4" t="s">
        <v>277</v>
      </c>
      <c r="G62" s="5" t="s">
        <v>376</v>
      </c>
      <c r="H62" s="5" t="s">
        <v>279</v>
      </c>
    </row>
    <row r="63" customFormat="false" ht="72" hidden="false" customHeight="true" outlineLevel="0" collapsed="false">
      <c r="A63" s="4" t="n">
        <v>56</v>
      </c>
      <c r="B63" s="5" t="s">
        <v>275</v>
      </c>
      <c r="C63" s="17" t="n">
        <v>70</v>
      </c>
      <c r="D63" s="18" t="s">
        <v>276</v>
      </c>
      <c r="E63" s="7" t="n">
        <f aca="false">ROUND(C63*IF(D63="USD",$B$3,1),2)</f>
        <v>70</v>
      </c>
      <c r="F63" s="4" t="s">
        <v>277</v>
      </c>
      <c r="G63" s="5" t="s">
        <v>377</v>
      </c>
      <c r="H63" s="5" t="s">
        <v>279</v>
      </c>
    </row>
    <row r="64" customFormat="false" ht="72" hidden="false" customHeight="true" outlineLevel="0" collapsed="false">
      <c r="A64" s="4" t="n">
        <v>57</v>
      </c>
      <c r="B64" s="5" t="s">
        <v>275</v>
      </c>
      <c r="C64" s="17" t="n">
        <v>120</v>
      </c>
      <c r="D64" s="18" t="s">
        <v>276</v>
      </c>
      <c r="E64" s="7" t="n">
        <f aca="false">ROUND(C64*IF(D64="USD",$B$3,1),2)</f>
        <v>120</v>
      </c>
      <c r="F64" s="4" t="s">
        <v>277</v>
      </c>
      <c r="G64" s="5" t="s">
        <v>378</v>
      </c>
      <c r="H64" s="5" t="s">
        <v>279</v>
      </c>
    </row>
    <row r="65" customFormat="false" ht="72" hidden="false" customHeight="true" outlineLevel="0" collapsed="false">
      <c r="A65" s="4" t="n">
        <v>58</v>
      </c>
      <c r="B65" s="5" t="s">
        <v>275</v>
      </c>
      <c r="C65" s="17" t="n">
        <v>160</v>
      </c>
      <c r="D65" s="18" t="s">
        <v>276</v>
      </c>
      <c r="E65" s="7" t="n">
        <f aca="false">ROUND(C65*IF(D65="USD",$B$3,1),2)</f>
        <v>160</v>
      </c>
      <c r="F65" s="4" t="s">
        <v>277</v>
      </c>
      <c r="G65" s="5" t="s">
        <v>379</v>
      </c>
      <c r="H65" s="5" t="s">
        <v>279</v>
      </c>
    </row>
    <row r="66" customFormat="false" ht="72" hidden="false" customHeight="true" outlineLevel="0" collapsed="false">
      <c r="A66" s="4" t="n">
        <v>59</v>
      </c>
      <c r="B66" s="5" t="s">
        <v>137</v>
      </c>
      <c r="C66" s="17" t="n">
        <v>32.64</v>
      </c>
      <c r="D66" s="18" t="s">
        <v>282</v>
      </c>
      <c r="E66" s="7" t="n">
        <f aca="false">ROUND(C66*IF(D66="USD",$B$3,1),2)</f>
        <v>2748.21</v>
      </c>
      <c r="F66" s="4" t="s">
        <v>283</v>
      </c>
      <c r="G66" s="5"/>
      <c r="H66" s="5" t="s">
        <v>380</v>
      </c>
    </row>
  </sheetData>
  <mergeCells count="5">
    <mergeCell ref="A1:H1"/>
    <mergeCell ref="A2:H2"/>
    <mergeCell ref="C3:H3"/>
    <mergeCell ref="A4:H4"/>
    <mergeCell ref="A5:H5"/>
  </mergeCells>
  <printOptions headings="false" gridLines="false" gridLinesSet="true" horizontalCentered="true" verticalCentered="false"/>
  <pageMargins left="0.5" right="0.5" top="0.9" bottom="0.75" header="0.3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 Спецификация для пайки&amp;R&amp;"Arial,Bold" Ориентировочные цены комплектующих</oddHeader>
    <oddFooter>&amp;C&amp;9 Лист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2026-09-20T07:52:17Z</dcterms:created>
  <dc:creator>openpyxl</dc:creator>
  <dc:description/>
  <dc:language>en-US</dc:language>
  <cp:lastModifiedBy/>
  <dcterms:modified xsi:type="dcterms:W3CDTF">2026-09-20T08:02:48Z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